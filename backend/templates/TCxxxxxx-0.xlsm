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taktcontrol-my.sharepoint.com/personal/engenharia_taktcontrol_onmicrosoft_com/Documents/Administrativo/DOCUMENTOS PADRAO/TCXXXXXX - AACliente - Modelo/01-PROPOSTA/"/>
    </mc:Choice>
  </mc:AlternateContent>
  <xr:revisionPtr revIDLastSave="575" documentId="13_ncr:1_{C88D1665-7F27-423D-852F-9870EC44E1E7}" xr6:coauthVersionLast="47" xr6:coauthVersionMax="47" xr10:uidLastSave="{1171536D-FC90-4335-92BD-CCF89E460A24}"/>
  <bookViews>
    <workbookView xWindow="-28920" yWindow="-120" windowWidth="29040" windowHeight="15720" tabRatio="803" activeTab="1" xr2:uid="{00000000-000D-0000-FFFF-FFFF00000000}"/>
  </bookViews>
  <sheets>
    <sheet name="Materiais" sheetId="13" r:id="rId1"/>
    <sheet name="Serviços-Takt" sheetId="5" r:id="rId2"/>
    <sheet name="Serviços-Terceiros" sheetId="11" r:id="rId3"/>
    <sheet name="Valores Finais" sheetId="14" r:id="rId4"/>
    <sheet name="Especificação-IO's" sheetId="6" r:id="rId5"/>
    <sheet name="DbMateriais" sheetId="17" r:id="rId6"/>
  </sheets>
  <definedNames>
    <definedName name="_xlnm.Print_Area" localSheetId="0">Materiais!$A$1:$S$453</definedName>
    <definedName name="_xlnm.Print_Area" localSheetId="1">'Serviços-Takt'!$A$1:$R$39</definedName>
    <definedName name="_xlnm.Print_Area" localSheetId="2">'Serviços-Terceiros'!$A$1:$O$24</definedName>
    <definedName name="_xlnm.Print_Area" localSheetId="3">'Valores Finais'!$A$2:$O$39</definedName>
    <definedName name="DadosExternos_1" localSheetId="5" hidden="1">DbMateriais!$A$1:$P$1020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" i="5" l="1"/>
  <c r="H27" i="5"/>
  <c r="H28" i="5"/>
  <c r="H29" i="5"/>
  <c r="H30" i="5"/>
  <c r="H31" i="5"/>
  <c r="H32" i="5"/>
  <c r="H33" i="5"/>
  <c r="H34" i="5"/>
  <c r="I34" i="5" s="1"/>
  <c r="M34" i="5" s="1"/>
  <c r="H35" i="5"/>
  <c r="I35" i="5" s="1"/>
  <c r="M35" i="5" s="1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43" i="5"/>
  <c r="I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6" i="13"/>
  <c r="I22" i="14"/>
  <c r="I32" i="14"/>
  <c r="I42" i="14"/>
  <c r="J30" i="6"/>
  <c r="I30" i="6"/>
  <c r="H30" i="6"/>
  <c r="G30" i="6"/>
  <c r="C6" i="14"/>
  <c r="B6" i="14"/>
  <c r="E5" i="14"/>
  <c r="D5" i="14"/>
  <c r="E4" i="14"/>
  <c r="D4" i="14"/>
  <c r="E3" i="14"/>
  <c r="D3" i="14"/>
  <c r="E2" i="14"/>
  <c r="E6" i="14" s="1"/>
  <c r="D2" i="14"/>
  <c r="D6" i="14" s="1"/>
  <c r="A27" i="11"/>
  <c r="B23" i="11"/>
  <c r="L22" i="11"/>
  <c r="H22" i="11"/>
  <c r="J22" i="11" s="1"/>
  <c r="F22" i="11"/>
  <c r="L21" i="11"/>
  <c r="F21" i="11"/>
  <c r="H21" i="11" s="1"/>
  <c r="J21" i="11" s="1"/>
  <c r="L20" i="11"/>
  <c r="F20" i="11"/>
  <c r="H20" i="11" s="1"/>
  <c r="J20" i="11" s="1"/>
  <c r="L19" i="11"/>
  <c r="H19" i="11"/>
  <c r="J19" i="11" s="1"/>
  <c r="F19" i="11"/>
  <c r="L18" i="11"/>
  <c r="H18" i="11"/>
  <c r="J18" i="11" s="1"/>
  <c r="F18" i="11"/>
  <c r="L17" i="11"/>
  <c r="F17" i="11"/>
  <c r="H17" i="11" s="1"/>
  <c r="J17" i="11" s="1"/>
  <c r="L16" i="11"/>
  <c r="F16" i="11"/>
  <c r="H16" i="11" s="1"/>
  <c r="J16" i="11" s="1"/>
  <c r="L15" i="11"/>
  <c r="H15" i="11"/>
  <c r="J15" i="11" s="1"/>
  <c r="F15" i="11"/>
  <c r="L14" i="11"/>
  <c r="F14" i="11"/>
  <c r="H14" i="11" s="1"/>
  <c r="J14" i="11" s="1"/>
  <c r="L13" i="11"/>
  <c r="F13" i="11"/>
  <c r="H13" i="11" s="1"/>
  <c r="J13" i="11" s="1"/>
  <c r="L12" i="11"/>
  <c r="F12" i="11"/>
  <c r="H12" i="11" s="1"/>
  <c r="J12" i="11" s="1"/>
  <c r="L11" i="11"/>
  <c r="H11" i="11"/>
  <c r="J11" i="11" s="1"/>
  <c r="F11" i="11"/>
  <c r="L10" i="11"/>
  <c r="F10" i="11"/>
  <c r="H10" i="11" s="1"/>
  <c r="J10" i="11" s="1"/>
  <c r="L9" i="11"/>
  <c r="F9" i="11"/>
  <c r="H9" i="11" s="1"/>
  <c r="J9" i="11" s="1"/>
  <c r="L8" i="11"/>
  <c r="F8" i="11"/>
  <c r="H8" i="11" s="1"/>
  <c r="J8" i="11" s="1"/>
  <c r="L7" i="11"/>
  <c r="F7" i="11"/>
  <c r="H7" i="11" s="1"/>
  <c r="J7" i="11" s="1"/>
  <c r="L6" i="11"/>
  <c r="F6" i="11"/>
  <c r="H6" i="11" s="1"/>
  <c r="J68" i="5"/>
  <c r="I68" i="5"/>
  <c r="H25" i="5" s="1"/>
  <c r="I25" i="5" s="1"/>
  <c r="M25" i="5" s="1"/>
  <c r="J67" i="5"/>
  <c r="I67" i="5"/>
  <c r="H24" i="5" s="1"/>
  <c r="J66" i="5"/>
  <c r="I66" i="5"/>
  <c r="H23" i="5" s="1"/>
  <c r="I23" i="5" s="1"/>
  <c r="M23" i="5" s="1"/>
  <c r="J65" i="5"/>
  <c r="I65" i="5"/>
  <c r="H22" i="5" s="1"/>
  <c r="I22" i="5" s="1"/>
  <c r="M22" i="5" s="1"/>
  <c r="J64" i="5"/>
  <c r="I64" i="5"/>
  <c r="H21" i="5" s="1"/>
  <c r="I21" i="5" s="1"/>
  <c r="M21" i="5" s="1"/>
  <c r="J63" i="5"/>
  <c r="I63" i="5"/>
  <c r="H20" i="5" s="1"/>
  <c r="I20" i="5" s="1"/>
  <c r="M20" i="5" s="1"/>
  <c r="J62" i="5"/>
  <c r="I62" i="5"/>
  <c r="H19" i="5" s="1"/>
  <c r="I19" i="5" s="1"/>
  <c r="M19" i="5" s="1"/>
  <c r="J61" i="5"/>
  <c r="I61" i="5"/>
  <c r="H18" i="5" s="1"/>
  <c r="I18" i="5" s="1"/>
  <c r="M18" i="5" s="1"/>
  <c r="J60" i="5"/>
  <c r="I60" i="5"/>
  <c r="H17" i="5" s="1"/>
  <c r="J59" i="5"/>
  <c r="I59" i="5"/>
  <c r="H16" i="5" s="1"/>
  <c r="I16" i="5" s="1"/>
  <c r="M16" i="5" s="1"/>
  <c r="J58" i="5"/>
  <c r="I58" i="5"/>
  <c r="H15" i="5" s="1"/>
  <c r="I15" i="5" s="1"/>
  <c r="M15" i="5" s="1"/>
  <c r="J57" i="5"/>
  <c r="I57" i="5"/>
  <c r="H14" i="5" s="1"/>
  <c r="I14" i="5" s="1"/>
  <c r="M14" i="5" s="1"/>
  <c r="N14" i="5" s="1"/>
  <c r="J56" i="5"/>
  <c r="I56" i="5"/>
  <c r="H13" i="5" s="1"/>
  <c r="I13" i="5" s="1"/>
  <c r="M13" i="5" s="1"/>
  <c r="J55" i="5"/>
  <c r="I55" i="5"/>
  <c r="H12" i="5" s="1"/>
  <c r="I12" i="5" s="1"/>
  <c r="M12" i="5" s="1"/>
  <c r="J54" i="5"/>
  <c r="I54" i="5"/>
  <c r="H11" i="5" s="1"/>
  <c r="I11" i="5" s="1"/>
  <c r="M11" i="5" s="1"/>
  <c r="N11" i="5" s="1"/>
  <c r="J53" i="5"/>
  <c r="I53" i="5"/>
  <c r="H10" i="5" s="1"/>
  <c r="I10" i="5" s="1"/>
  <c r="M10" i="5" s="1"/>
  <c r="J52" i="5"/>
  <c r="I52" i="5"/>
  <c r="H9" i="5" s="1"/>
  <c r="J51" i="5"/>
  <c r="I51" i="5"/>
  <c r="H8" i="5" s="1"/>
  <c r="I8" i="5" s="1"/>
  <c r="M8" i="5" s="1"/>
  <c r="J50" i="5"/>
  <c r="I50" i="5"/>
  <c r="J49" i="5"/>
  <c r="I49" i="5"/>
  <c r="H6" i="5" s="1"/>
  <c r="I6" i="5" s="1"/>
  <c r="J48" i="5"/>
  <c r="I48" i="5"/>
  <c r="J47" i="5"/>
  <c r="I47" i="5"/>
  <c r="J46" i="5"/>
  <c r="I46" i="5"/>
  <c r="J45" i="5"/>
  <c r="I45" i="5"/>
  <c r="J44" i="5"/>
  <c r="I44" i="5"/>
  <c r="H44" i="5"/>
  <c r="J43" i="5"/>
  <c r="I43" i="5"/>
  <c r="A42" i="5"/>
  <c r="P35" i="5"/>
  <c r="O35" i="5"/>
  <c r="K35" i="5"/>
  <c r="C35" i="5"/>
  <c r="P34" i="5"/>
  <c r="O34" i="5"/>
  <c r="K34" i="5"/>
  <c r="C34" i="5"/>
  <c r="P33" i="5"/>
  <c r="O33" i="5"/>
  <c r="K33" i="5"/>
  <c r="I33" i="5"/>
  <c r="M33" i="5" s="1"/>
  <c r="C33" i="5"/>
  <c r="P32" i="5"/>
  <c r="O32" i="5"/>
  <c r="K32" i="5"/>
  <c r="I32" i="5"/>
  <c r="M32" i="5" s="1"/>
  <c r="N32" i="5" s="1"/>
  <c r="C32" i="5"/>
  <c r="P31" i="5"/>
  <c r="O31" i="5"/>
  <c r="L31" i="5"/>
  <c r="K31" i="5"/>
  <c r="I31" i="5"/>
  <c r="M31" i="5" s="1"/>
  <c r="N31" i="5" s="1"/>
  <c r="C31" i="5"/>
  <c r="P30" i="5"/>
  <c r="O30" i="5"/>
  <c r="L30" i="5"/>
  <c r="K30" i="5"/>
  <c r="I30" i="5"/>
  <c r="M30" i="5" s="1"/>
  <c r="N30" i="5" s="1"/>
  <c r="C30" i="5"/>
  <c r="P29" i="5"/>
  <c r="O29" i="5"/>
  <c r="L29" i="5"/>
  <c r="K29" i="5"/>
  <c r="I29" i="5"/>
  <c r="M29" i="5" s="1"/>
  <c r="N29" i="5" s="1"/>
  <c r="C29" i="5"/>
  <c r="P28" i="5"/>
  <c r="O28" i="5"/>
  <c r="L28" i="5"/>
  <c r="K28" i="5"/>
  <c r="I28" i="5"/>
  <c r="M28" i="5" s="1"/>
  <c r="N28" i="5" s="1"/>
  <c r="C28" i="5"/>
  <c r="P27" i="5"/>
  <c r="O27" i="5"/>
  <c r="L27" i="5"/>
  <c r="K27" i="5"/>
  <c r="I27" i="5"/>
  <c r="M27" i="5" s="1"/>
  <c r="N27" i="5" s="1"/>
  <c r="C27" i="5"/>
  <c r="P26" i="5"/>
  <c r="L26" i="5"/>
  <c r="O26" i="5" s="1"/>
  <c r="K26" i="5"/>
  <c r="I26" i="5"/>
  <c r="M26" i="5" s="1"/>
  <c r="N26" i="5" s="1"/>
  <c r="C26" i="5"/>
  <c r="P25" i="5"/>
  <c r="K25" i="5"/>
  <c r="C25" i="5"/>
  <c r="P24" i="5"/>
  <c r="K24" i="5"/>
  <c r="C24" i="5"/>
  <c r="P23" i="5"/>
  <c r="K23" i="5"/>
  <c r="C23" i="5"/>
  <c r="P22" i="5"/>
  <c r="K22" i="5"/>
  <c r="C22" i="5"/>
  <c r="P21" i="5"/>
  <c r="K21" i="5"/>
  <c r="C21" i="5"/>
  <c r="P20" i="5"/>
  <c r="K20" i="5"/>
  <c r="C20" i="5"/>
  <c r="P19" i="5"/>
  <c r="K19" i="5"/>
  <c r="C19" i="5"/>
  <c r="P18" i="5"/>
  <c r="K18" i="5"/>
  <c r="C18" i="5"/>
  <c r="P17" i="5"/>
  <c r="O17" i="5"/>
  <c r="K17" i="5"/>
  <c r="C17" i="5"/>
  <c r="P16" i="5"/>
  <c r="O16" i="5"/>
  <c r="K16" i="5"/>
  <c r="P15" i="5"/>
  <c r="O15" i="5"/>
  <c r="K15" i="5"/>
  <c r="C15" i="5"/>
  <c r="P14" i="5"/>
  <c r="K14" i="5"/>
  <c r="C14" i="5"/>
  <c r="P13" i="5"/>
  <c r="K13" i="5"/>
  <c r="C13" i="5"/>
  <c r="P12" i="5"/>
  <c r="K12" i="5"/>
  <c r="C12" i="5"/>
  <c r="P11" i="5"/>
  <c r="K11" i="5"/>
  <c r="C11" i="5"/>
  <c r="P10" i="5"/>
  <c r="K10" i="5"/>
  <c r="C10" i="5"/>
  <c r="P9" i="5"/>
  <c r="K9" i="5"/>
  <c r="C9" i="5"/>
  <c r="P8" i="5"/>
  <c r="O8" i="5"/>
  <c r="K8" i="5"/>
  <c r="C8" i="5"/>
  <c r="P7" i="5"/>
  <c r="O7" i="5"/>
  <c r="K7" i="5"/>
  <c r="C7" i="5"/>
  <c r="P6" i="5"/>
  <c r="K6" i="5"/>
  <c r="C6" i="5"/>
  <c r="Q453" i="13"/>
  <c r="I453" i="13"/>
  <c r="K453" i="13" s="1"/>
  <c r="M453" i="13" s="1"/>
  <c r="O453" i="13" s="1"/>
  <c r="Q452" i="13"/>
  <c r="I452" i="13"/>
  <c r="K452" i="13" s="1"/>
  <c r="M452" i="13" s="1"/>
  <c r="O452" i="13" s="1"/>
  <c r="Q451" i="13"/>
  <c r="I451" i="13"/>
  <c r="K451" i="13" s="1"/>
  <c r="M451" i="13" s="1"/>
  <c r="O451" i="13" s="1"/>
  <c r="Q450" i="13"/>
  <c r="I450" i="13"/>
  <c r="K450" i="13" s="1"/>
  <c r="M450" i="13" s="1"/>
  <c r="O450" i="13" s="1"/>
  <c r="Q449" i="13"/>
  <c r="I449" i="13"/>
  <c r="K449" i="13" s="1"/>
  <c r="M449" i="13" s="1"/>
  <c r="O449" i="13" s="1"/>
  <c r="Q448" i="13"/>
  <c r="I448" i="13"/>
  <c r="K448" i="13" s="1"/>
  <c r="M448" i="13" s="1"/>
  <c r="O448" i="13" s="1"/>
  <c r="Q447" i="13"/>
  <c r="I447" i="13"/>
  <c r="K447" i="13" s="1"/>
  <c r="M447" i="13" s="1"/>
  <c r="O447" i="13" s="1"/>
  <c r="Q446" i="13"/>
  <c r="I446" i="13"/>
  <c r="K446" i="13" s="1"/>
  <c r="M446" i="13" s="1"/>
  <c r="O446" i="13" s="1"/>
  <c r="Q445" i="13"/>
  <c r="I445" i="13"/>
  <c r="K445" i="13" s="1"/>
  <c r="M445" i="13" s="1"/>
  <c r="O445" i="13" s="1"/>
  <c r="Q444" i="13"/>
  <c r="I444" i="13"/>
  <c r="K444" i="13" s="1"/>
  <c r="M444" i="13" s="1"/>
  <c r="O444" i="13" s="1"/>
  <c r="N444" i="13" s="1"/>
  <c r="Q443" i="13"/>
  <c r="I443" i="13"/>
  <c r="K443" i="13" s="1"/>
  <c r="M443" i="13" s="1"/>
  <c r="O443" i="13" s="1"/>
  <c r="Q442" i="13"/>
  <c r="I442" i="13"/>
  <c r="K442" i="13" s="1"/>
  <c r="M442" i="13" s="1"/>
  <c r="O442" i="13" s="1"/>
  <c r="Q441" i="13"/>
  <c r="I441" i="13"/>
  <c r="K441" i="13" s="1"/>
  <c r="M441" i="13" s="1"/>
  <c r="O441" i="13" s="1"/>
  <c r="Q440" i="13"/>
  <c r="I440" i="13"/>
  <c r="K440" i="13" s="1"/>
  <c r="M440" i="13" s="1"/>
  <c r="O440" i="13" s="1"/>
  <c r="N440" i="13" s="1"/>
  <c r="Q439" i="13"/>
  <c r="I439" i="13"/>
  <c r="K439" i="13" s="1"/>
  <c r="M439" i="13" s="1"/>
  <c r="O439" i="13" s="1"/>
  <c r="Q438" i="13"/>
  <c r="I438" i="13"/>
  <c r="K438" i="13" s="1"/>
  <c r="M438" i="13" s="1"/>
  <c r="O438" i="13" s="1"/>
  <c r="Q437" i="13"/>
  <c r="I437" i="13"/>
  <c r="K437" i="13" s="1"/>
  <c r="M437" i="13" s="1"/>
  <c r="O437" i="13" s="1"/>
  <c r="Q436" i="13"/>
  <c r="I436" i="13"/>
  <c r="K436" i="13" s="1"/>
  <c r="M436" i="13" s="1"/>
  <c r="O436" i="13" s="1"/>
  <c r="Q435" i="13"/>
  <c r="I435" i="13"/>
  <c r="K435" i="13" s="1"/>
  <c r="M435" i="13" s="1"/>
  <c r="O435" i="13" s="1"/>
  <c r="Q434" i="13"/>
  <c r="I434" i="13"/>
  <c r="K434" i="13" s="1"/>
  <c r="M434" i="13" s="1"/>
  <c r="O434" i="13" s="1"/>
  <c r="Q433" i="13"/>
  <c r="I433" i="13"/>
  <c r="K433" i="13" s="1"/>
  <c r="M433" i="13" s="1"/>
  <c r="O433" i="13" s="1"/>
  <c r="Q432" i="13"/>
  <c r="I432" i="13"/>
  <c r="K432" i="13" s="1"/>
  <c r="M432" i="13" s="1"/>
  <c r="O432" i="13" s="1"/>
  <c r="Q431" i="13"/>
  <c r="I431" i="13"/>
  <c r="K431" i="13" s="1"/>
  <c r="M431" i="13" s="1"/>
  <c r="O431" i="13" s="1"/>
  <c r="Q430" i="13"/>
  <c r="I430" i="13"/>
  <c r="K430" i="13" s="1"/>
  <c r="M430" i="13" s="1"/>
  <c r="O430" i="13" s="1"/>
  <c r="N430" i="13" s="1"/>
  <c r="Q429" i="13"/>
  <c r="I429" i="13"/>
  <c r="K429" i="13" s="1"/>
  <c r="M429" i="13" s="1"/>
  <c r="O429" i="13" s="1"/>
  <c r="N429" i="13" s="1"/>
  <c r="Q428" i="13"/>
  <c r="I428" i="13"/>
  <c r="K428" i="13" s="1"/>
  <c r="M428" i="13" s="1"/>
  <c r="O428" i="13" s="1"/>
  <c r="N428" i="13" s="1"/>
  <c r="Q427" i="13"/>
  <c r="I427" i="13"/>
  <c r="K427" i="13" s="1"/>
  <c r="M427" i="13" s="1"/>
  <c r="O427" i="13" s="1"/>
  <c r="Q426" i="13"/>
  <c r="I426" i="13"/>
  <c r="K426" i="13" s="1"/>
  <c r="M426" i="13" s="1"/>
  <c r="O426" i="13" s="1"/>
  <c r="Q425" i="13"/>
  <c r="I425" i="13"/>
  <c r="K425" i="13" s="1"/>
  <c r="M425" i="13" s="1"/>
  <c r="O425" i="13" s="1"/>
  <c r="Q424" i="13"/>
  <c r="I424" i="13"/>
  <c r="K424" i="13" s="1"/>
  <c r="M424" i="13" s="1"/>
  <c r="O424" i="13" s="1"/>
  <c r="Q423" i="13"/>
  <c r="I423" i="13"/>
  <c r="K423" i="13" s="1"/>
  <c r="M423" i="13" s="1"/>
  <c r="O423" i="13" s="1"/>
  <c r="Q422" i="13"/>
  <c r="I422" i="13"/>
  <c r="K422" i="13" s="1"/>
  <c r="M422" i="13" s="1"/>
  <c r="O422" i="13" s="1"/>
  <c r="Q421" i="13"/>
  <c r="I421" i="13"/>
  <c r="K421" i="13" s="1"/>
  <c r="M421" i="13" s="1"/>
  <c r="O421" i="13" s="1"/>
  <c r="Q420" i="13"/>
  <c r="I420" i="13"/>
  <c r="K420" i="13" s="1"/>
  <c r="M420" i="13" s="1"/>
  <c r="O420" i="13" s="1"/>
  <c r="Q419" i="13"/>
  <c r="I419" i="13"/>
  <c r="K419" i="13" s="1"/>
  <c r="M419" i="13" s="1"/>
  <c r="O419" i="13" s="1"/>
  <c r="Q418" i="13"/>
  <c r="I418" i="13"/>
  <c r="K418" i="13" s="1"/>
  <c r="M418" i="13" s="1"/>
  <c r="O418" i="13" s="1"/>
  <c r="Q417" i="13"/>
  <c r="I417" i="13"/>
  <c r="K417" i="13" s="1"/>
  <c r="M417" i="13" s="1"/>
  <c r="O417" i="13" s="1"/>
  <c r="Q416" i="13"/>
  <c r="I416" i="13"/>
  <c r="K416" i="13" s="1"/>
  <c r="M416" i="13" s="1"/>
  <c r="O416" i="13" s="1"/>
  <c r="Q415" i="13"/>
  <c r="I415" i="13"/>
  <c r="K415" i="13" s="1"/>
  <c r="M415" i="13" s="1"/>
  <c r="O415" i="13" s="1"/>
  <c r="Q414" i="13"/>
  <c r="I414" i="13"/>
  <c r="K414" i="13" s="1"/>
  <c r="M414" i="13" s="1"/>
  <c r="O414" i="13" s="1"/>
  <c r="Q413" i="13"/>
  <c r="I413" i="13"/>
  <c r="K413" i="13" s="1"/>
  <c r="M413" i="13" s="1"/>
  <c r="O413" i="13" s="1"/>
  <c r="Q412" i="13"/>
  <c r="I412" i="13"/>
  <c r="K412" i="13" s="1"/>
  <c r="M412" i="13" s="1"/>
  <c r="O412" i="13" s="1"/>
  <c r="Q411" i="13"/>
  <c r="I411" i="13"/>
  <c r="K411" i="13" s="1"/>
  <c r="M411" i="13" s="1"/>
  <c r="O411" i="13" s="1"/>
  <c r="Q410" i="13"/>
  <c r="I410" i="13"/>
  <c r="K410" i="13" s="1"/>
  <c r="M410" i="13" s="1"/>
  <c r="O410" i="13" s="1"/>
  <c r="Q409" i="13"/>
  <c r="I409" i="13"/>
  <c r="K409" i="13" s="1"/>
  <c r="M409" i="13" s="1"/>
  <c r="O409" i="13" s="1"/>
  <c r="Q408" i="13"/>
  <c r="I408" i="13"/>
  <c r="K408" i="13" s="1"/>
  <c r="M408" i="13" s="1"/>
  <c r="O408" i="13" s="1"/>
  <c r="Q407" i="13"/>
  <c r="I407" i="13"/>
  <c r="K407" i="13" s="1"/>
  <c r="M407" i="13" s="1"/>
  <c r="O407" i="13" s="1"/>
  <c r="Q406" i="13"/>
  <c r="I406" i="13"/>
  <c r="K406" i="13" s="1"/>
  <c r="M406" i="13" s="1"/>
  <c r="O406" i="13" s="1"/>
  <c r="Q405" i="13"/>
  <c r="I405" i="13"/>
  <c r="K405" i="13" s="1"/>
  <c r="M405" i="13" s="1"/>
  <c r="O405" i="13" s="1"/>
  <c r="Q404" i="13"/>
  <c r="K404" i="13"/>
  <c r="M404" i="13" s="1"/>
  <c r="O404" i="13" s="1"/>
  <c r="I404" i="13"/>
  <c r="Q403" i="13"/>
  <c r="I403" i="13"/>
  <c r="K403" i="13" s="1"/>
  <c r="M403" i="13" s="1"/>
  <c r="O403" i="13" s="1"/>
  <c r="Q402" i="13"/>
  <c r="I402" i="13"/>
  <c r="K402" i="13" s="1"/>
  <c r="M402" i="13" s="1"/>
  <c r="O402" i="13" s="1"/>
  <c r="Q401" i="13"/>
  <c r="I401" i="13"/>
  <c r="K401" i="13" s="1"/>
  <c r="M401" i="13" s="1"/>
  <c r="O401" i="13" s="1"/>
  <c r="Q400" i="13"/>
  <c r="I400" i="13"/>
  <c r="K400" i="13" s="1"/>
  <c r="M400" i="13" s="1"/>
  <c r="O400" i="13" s="1"/>
  <c r="Q399" i="13"/>
  <c r="I399" i="13"/>
  <c r="K399" i="13" s="1"/>
  <c r="M399" i="13" s="1"/>
  <c r="O399" i="13" s="1"/>
  <c r="Q398" i="13"/>
  <c r="I398" i="13"/>
  <c r="K398" i="13" s="1"/>
  <c r="M398" i="13" s="1"/>
  <c r="O398" i="13" s="1"/>
  <c r="Q397" i="13"/>
  <c r="I397" i="13"/>
  <c r="K397" i="13" s="1"/>
  <c r="M397" i="13" s="1"/>
  <c r="O397" i="13" s="1"/>
  <c r="Q396" i="13"/>
  <c r="I396" i="13"/>
  <c r="K396" i="13" s="1"/>
  <c r="M396" i="13" s="1"/>
  <c r="O396" i="13" s="1"/>
  <c r="Q395" i="13"/>
  <c r="I395" i="13"/>
  <c r="K395" i="13" s="1"/>
  <c r="M395" i="13" s="1"/>
  <c r="O395" i="13" s="1"/>
  <c r="N395" i="13" s="1"/>
  <c r="Q394" i="13"/>
  <c r="I394" i="13"/>
  <c r="K394" i="13" s="1"/>
  <c r="M394" i="13" s="1"/>
  <c r="O394" i="13" s="1"/>
  <c r="Q393" i="13"/>
  <c r="I393" i="13"/>
  <c r="K393" i="13" s="1"/>
  <c r="M393" i="13" s="1"/>
  <c r="O393" i="13" s="1"/>
  <c r="Q392" i="13"/>
  <c r="I392" i="13"/>
  <c r="K392" i="13" s="1"/>
  <c r="M392" i="13" s="1"/>
  <c r="O392" i="13" s="1"/>
  <c r="Q391" i="13"/>
  <c r="I391" i="13"/>
  <c r="K391" i="13" s="1"/>
  <c r="M391" i="13" s="1"/>
  <c r="O391" i="13" s="1"/>
  <c r="Q390" i="13"/>
  <c r="I390" i="13"/>
  <c r="K390" i="13" s="1"/>
  <c r="M390" i="13" s="1"/>
  <c r="O390" i="13" s="1"/>
  <c r="Q389" i="13"/>
  <c r="I389" i="13"/>
  <c r="K389" i="13" s="1"/>
  <c r="M389" i="13" s="1"/>
  <c r="O389" i="13" s="1"/>
  <c r="Q388" i="13"/>
  <c r="I388" i="13"/>
  <c r="K388" i="13" s="1"/>
  <c r="M388" i="13" s="1"/>
  <c r="O388" i="13" s="1"/>
  <c r="Q387" i="13"/>
  <c r="I387" i="13"/>
  <c r="K387" i="13" s="1"/>
  <c r="M387" i="13" s="1"/>
  <c r="O387" i="13" s="1"/>
  <c r="Q386" i="13"/>
  <c r="I386" i="13"/>
  <c r="K386" i="13" s="1"/>
  <c r="M386" i="13" s="1"/>
  <c r="O386" i="13" s="1"/>
  <c r="Q385" i="13"/>
  <c r="I385" i="13"/>
  <c r="K385" i="13" s="1"/>
  <c r="M385" i="13" s="1"/>
  <c r="O385" i="13" s="1"/>
  <c r="Q384" i="13"/>
  <c r="I384" i="13"/>
  <c r="K384" i="13" s="1"/>
  <c r="M384" i="13" s="1"/>
  <c r="O384" i="13" s="1"/>
  <c r="Q383" i="13"/>
  <c r="I383" i="13"/>
  <c r="K383" i="13" s="1"/>
  <c r="M383" i="13" s="1"/>
  <c r="O383" i="13" s="1"/>
  <c r="Q382" i="13"/>
  <c r="I382" i="13"/>
  <c r="K382" i="13" s="1"/>
  <c r="M382" i="13" s="1"/>
  <c r="O382" i="13" s="1"/>
  <c r="N382" i="13" s="1"/>
  <c r="Q381" i="13"/>
  <c r="I381" i="13"/>
  <c r="K381" i="13" s="1"/>
  <c r="M381" i="13" s="1"/>
  <c r="O381" i="13" s="1"/>
  <c r="Q380" i="13"/>
  <c r="I380" i="13"/>
  <c r="K380" i="13" s="1"/>
  <c r="M380" i="13" s="1"/>
  <c r="O380" i="13" s="1"/>
  <c r="Q379" i="13"/>
  <c r="I379" i="13"/>
  <c r="K379" i="13" s="1"/>
  <c r="M379" i="13" s="1"/>
  <c r="O379" i="13" s="1"/>
  <c r="N379" i="13" s="1"/>
  <c r="Q378" i="13"/>
  <c r="I378" i="13"/>
  <c r="K378" i="13" s="1"/>
  <c r="M378" i="13" s="1"/>
  <c r="O378" i="13" s="1"/>
  <c r="Q377" i="13"/>
  <c r="I377" i="13"/>
  <c r="K377" i="13" s="1"/>
  <c r="M377" i="13" s="1"/>
  <c r="O377" i="13" s="1"/>
  <c r="Q376" i="13"/>
  <c r="I376" i="13"/>
  <c r="K376" i="13" s="1"/>
  <c r="M376" i="13" s="1"/>
  <c r="O376" i="13" s="1"/>
  <c r="Q375" i="13"/>
  <c r="I375" i="13"/>
  <c r="K375" i="13" s="1"/>
  <c r="M375" i="13" s="1"/>
  <c r="O375" i="13" s="1"/>
  <c r="N375" i="13" s="1"/>
  <c r="Q374" i="13"/>
  <c r="I374" i="13"/>
  <c r="K374" i="13" s="1"/>
  <c r="M374" i="13" s="1"/>
  <c r="O374" i="13" s="1"/>
  <c r="Q373" i="13"/>
  <c r="I373" i="13"/>
  <c r="K373" i="13" s="1"/>
  <c r="M373" i="13" s="1"/>
  <c r="O373" i="13" s="1"/>
  <c r="Q372" i="13"/>
  <c r="I372" i="13"/>
  <c r="K372" i="13" s="1"/>
  <c r="M372" i="13" s="1"/>
  <c r="O372" i="13" s="1"/>
  <c r="Q371" i="13"/>
  <c r="I371" i="13"/>
  <c r="K371" i="13" s="1"/>
  <c r="M371" i="13" s="1"/>
  <c r="O371" i="13" s="1"/>
  <c r="N371" i="13" s="1"/>
  <c r="Q370" i="13"/>
  <c r="I370" i="13"/>
  <c r="K370" i="13" s="1"/>
  <c r="M370" i="13" s="1"/>
  <c r="O370" i="13" s="1"/>
  <c r="Q369" i="13"/>
  <c r="I369" i="13"/>
  <c r="K369" i="13" s="1"/>
  <c r="M369" i="13" s="1"/>
  <c r="O369" i="13" s="1"/>
  <c r="P369" i="13" s="1"/>
  <c r="Q368" i="13"/>
  <c r="I368" i="13"/>
  <c r="K368" i="13" s="1"/>
  <c r="M368" i="13" s="1"/>
  <c r="O368" i="13" s="1"/>
  <c r="Q367" i="13"/>
  <c r="I367" i="13"/>
  <c r="K367" i="13" s="1"/>
  <c r="M367" i="13" s="1"/>
  <c r="O367" i="13" s="1"/>
  <c r="N367" i="13" s="1"/>
  <c r="Q366" i="13"/>
  <c r="I366" i="13"/>
  <c r="K366" i="13" s="1"/>
  <c r="M366" i="13" s="1"/>
  <c r="O366" i="13" s="1"/>
  <c r="Q365" i="13"/>
  <c r="I365" i="13"/>
  <c r="K365" i="13" s="1"/>
  <c r="M365" i="13" s="1"/>
  <c r="O365" i="13" s="1"/>
  <c r="Q364" i="13"/>
  <c r="I364" i="13"/>
  <c r="K364" i="13" s="1"/>
  <c r="M364" i="13" s="1"/>
  <c r="O364" i="13" s="1"/>
  <c r="Q363" i="13"/>
  <c r="I363" i="13"/>
  <c r="K363" i="13" s="1"/>
  <c r="M363" i="13" s="1"/>
  <c r="O363" i="13" s="1"/>
  <c r="N363" i="13" s="1"/>
  <c r="Q362" i="13"/>
  <c r="I362" i="13"/>
  <c r="K362" i="13" s="1"/>
  <c r="M362" i="13" s="1"/>
  <c r="O362" i="13" s="1"/>
  <c r="Q361" i="13"/>
  <c r="I361" i="13"/>
  <c r="K361" i="13" s="1"/>
  <c r="M361" i="13" s="1"/>
  <c r="O361" i="13" s="1"/>
  <c r="Q360" i="13"/>
  <c r="I360" i="13"/>
  <c r="K360" i="13" s="1"/>
  <c r="M360" i="13" s="1"/>
  <c r="O360" i="13" s="1"/>
  <c r="Q359" i="13"/>
  <c r="I359" i="13"/>
  <c r="K359" i="13" s="1"/>
  <c r="M359" i="13" s="1"/>
  <c r="O359" i="13" s="1"/>
  <c r="P359" i="13" s="1"/>
  <c r="Q358" i="13"/>
  <c r="I358" i="13"/>
  <c r="K358" i="13" s="1"/>
  <c r="M358" i="13" s="1"/>
  <c r="O358" i="13" s="1"/>
  <c r="Q357" i="13"/>
  <c r="I357" i="13"/>
  <c r="K357" i="13" s="1"/>
  <c r="M357" i="13" s="1"/>
  <c r="O357" i="13" s="1"/>
  <c r="N357" i="13" s="1"/>
  <c r="Q356" i="13"/>
  <c r="I356" i="13"/>
  <c r="K356" i="13" s="1"/>
  <c r="M356" i="13" s="1"/>
  <c r="O356" i="13" s="1"/>
  <c r="Q355" i="13"/>
  <c r="I355" i="13"/>
  <c r="K355" i="13" s="1"/>
  <c r="M355" i="13" s="1"/>
  <c r="O355" i="13" s="1"/>
  <c r="Q354" i="13"/>
  <c r="I354" i="13"/>
  <c r="K354" i="13" s="1"/>
  <c r="M354" i="13" s="1"/>
  <c r="O354" i="13" s="1"/>
  <c r="Q353" i="13"/>
  <c r="I353" i="13"/>
  <c r="K353" i="13" s="1"/>
  <c r="M353" i="13" s="1"/>
  <c r="O353" i="13" s="1"/>
  <c r="Q352" i="13"/>
  <c r="I352" i="13"/>
  <c r="K352" i="13" s="1"/>
  <c r="M352" i="13" s="1"/>
  <c r="O352" i="13" s="1"/>
  <c r="Q351" i="13"/>
  <c r="I351" i="13"/>
  <c r="K351" i="13" s="1"/>
  <c r="M351" i="13" s="1"/>
  <c r="O351" i="13" s="1"/>
  <c r="Q350" i="13"/>
  <c r="I350" i="13"/>
  <c r="K350" i="13" s="1"/>
  <c r="M350" i="13" s="1"/>
  <c r="O350" i="13" s="1"/>
  <c r="Q349" i="13"/>
  <c r="I349" i="13"/>
  <c r="K349" i="13" s="1"/>
  <c r="M349" i="13" s="1"/>
  <c r="O349" i="13" s="1"/>
  <c r="Q348" i="13"/>
  <c r="I348" i="13"/>
  <c r="K348" i="13" s="1"/>
  <c r="M348" i="13" s="1"/>
  <c r="O348" i="13" s="1"/>
  <c r="Q347" i="13"/>
  <c r="I347" i="13"/>
  <c r="K347" i="13" s="1"/>
  <c r="M347" i="13" s="1"/>
  <c r="O347" i="13" s="1"/>
  <c r="N347" i="13" s="1"/>
  <c r="Q346" i="13"/>
  <c r="I346" i="13"/>
  <c r="K346" i="13" s="1"/>
  <c r="M346" i="13" s="1"/>
  <c r="O346" i="13" s="1"/>
  <c r="Q345" i="13"/>
  <c r="I345" i="13"/>
  <c r="K345" i="13" s="1"/>
  <c r="M345" i="13" s="1"/>
  <c r="O345" i="13" s="1"/>
  <c r="Q344" i="13"/>
  <c r="I344" i="13"/>
  <c r="K344" i="13" s="1"/>
  <c r="M344" i="13" s="1"/>
  <c r="O344" i="13" s="1"/>
  <c r="Q343" i="13"/>
  <c r="I343" i="13"/>
  <c r="K343" i="13" s="1"/>
  <c r="M343" i="13" s="1"/>
  <c r="O343" i="13" s="1"/>
  <c r="Q342" i="13"/>
  <c r="I342" i="13"/>
  <c r="K342" i="13" s="1"/>
  <c r="M342" i="13" s="1"/>
  <c r="O342" i="13" s="1"/>
  <c r="Q341" i="13"/>
  <c r="I341" i="13"/>
  <c r="K341" i="13" s="1"/>
  <c r="M341" i="13" s="1"/>
  <c r="O341" i="13" s="1"/>
  <c r="Q340" i="13"/>
  <c r="I340" i="13"/>
  <c r="K340" i="13" s="1"/>
  <c r="M340" i="13" s="1"/>
  <c r="O340" i="13" s="1"/>
  <c r="Q339" i="13"/>
  <c r="I339" i="13"/>
  <c r="K339" i="13" s="1"/>
  <c r="M339" i="13" s="1"/>
  <c r="O339" i="13" s="1"/>
  <c r="Q338" i="13"/>
  <c r="I338" i="13"/>
  <c r="K338" i="13" s="1"/>
  <c r="M338" i="13" s="1"/>
  <c r="O338" i="13" s="1"/>
  <c r="Q337" i="13"/>
  <c r="I337" i="13"/>
  <c r="K337" i="13" s="1"/>
  <c r="M337" i="13" s="1"/>
  <c r="O337" i="13" s="1"/>
  <c r="Q336" i="13"/>
  <c r="I336" i="13"/>
  <c r="K336" i="13" s="1"/>
  <c r="M336" i="13" s="1"/>
  <c r="O336" i="13" s="1"/>
  <c r="Q335" i="13"/>
  <c r="I335" i="13"/>
  <c r="K335" i="13" s="1"/>
  <c r="M335" i="13" s="1"/>
  <c r="O335" i="13" s="1"/>
  <c r="N335" i="13" s="1"/>
  <c r="Q334" i="13"/>
  <c r="I334" i="13"/>
  <c r="K334" i="13" s="1"/>
  <c r="M334" i="13" s="1"/>
  <c r="O334" i="13" s="1"/>
  <c r="Q333" i="13"/>
  <c r="I333" i="13"/>
  <c r="K333" i="13" s="1"/>
  <c r="M333" i="13" s="1"/>
  <c r="O333" i="13" s="1"/>
  <c r="Q332" i="13"/>
  <c r="I332" i="13"/>
  <c r="K332" i="13" s="1"/>
  <c r="M332" i="13" s="1"/>
  <c r="O332" i="13" s="1"/>
  <c r="Q331" i="13"/>
  <c r="I331" i="13"/>
  <c r="K331" i="13" s="1"/>
  <c r="M331" i="13" s="1"/>
  <c r="O331" i="13" s="1"/>
  <c r="N331" i="13" s="1"/>
  <c r="Q330" i="13"/>
  <c r="I330" i="13"/>
  <c r="K330" i="13" s="1"/>
  <c r="M330" i="13" s="1"/>
  <c r="O330" i="13" s="1"/>
  <c r="Q329" i="13"/>
  <c r="I329" i="13"/>
  <c r="K329" i="13" s="1"/>
  <c r="M329" i="13" s="1"/>
  <c r="O329" i="13" s="1"/>
  <c r="Q328" i="13"/>
  <c r="I328" i="13"/>
  <c r="K328" i="13" s="1"/>
  <c r="M328" i="13" s="1"/>
  <c r="O328" i="13" s="1"/>
  <c r="Q327" i="13"/>
  <c r="I327" i="13"/>
  <c r="K327" i="13" s="1"/>
  <c r="M327" i="13" s="1"/>
  <c r="O327" i="13" s="1"/>
  <c r="N327" i="13" s="1"/>
  <c r="Q326" i="13"/>
  <c r="I326" i="13"/>
  <c r="K326" i="13" s="1"/>
  <c r="M326" i="13" s="1"/>
  <c r="O326" i="13" s="1"/>
  <c r="Q325" i="13"/>
  <c r="I325" i="13"/>
  <c r="K325" i="13" s="1"/>
  <c r="M325" i="13" s="1"/>
  <c r="O325" i="13" s="1"/>
  <c r="P325" i="13" s="1"/>
  <c r="Q324" i="13"/>
  <c r="I324" i="13"/>
  <c r="K324" i="13" s="1"/>
  <c r="M324" i="13" s="1"/>
  <c r="O324" i="13" s="1"/>
  <c r="Q323" i="13"/>
  <c r="I323" i="13"/>
  <c r="K323" i="13" s="1"/>
  <c r="M323" i="13" s="1"/>
  <c r="O323" i="13" s="1"/>
  <c r="N323" i="13" s="1"/>
  <c r="Q322" i="13"/>
  <c r="I322" i="13"/>
  <c r="K322" i="13" s="1"/>
  <c r="M322" i="13" s="1"/>
  <c r="O322" i="13" s="1"/>
  <c r="Q321" i="13"/>
  <c r="I321" i="13"/>
  <c r="K321" i="13" s="1"/>
  <c r="M321" i="13" s="1"/>
  <c r="O321" i="13" s="1"/>
  <c r="Q320" i="13"/>
  <c r="I320" i="13"/>
  <c r="K320" i="13" s="1"/>
  <c r="M320" i="13" s="1"/>
  <c r="O320" i="13" s="1"/>
  <c r="Q319" i="13"/>
  <c r="I319" i="13"/>
  <c r="K319" i="13" s="1"/>
  <c r="M319" i="13" s="1"/>
  <c r="O319" i="13" s="1"/>
  <c r="N319" i="13" s="1"/>
  <c r="Q318" i="13"/>
  <c r="I318" i="13"/>
  <c r="K318" i="13" s="1"/>
  <c r="M318" i="13" s="1"/>
  <c r="O318" i="13" s="1"/>
  <c r="Q317" i="13"/>
  <c r="I317" i="13"/>
  <c r="K317" i="13" s="1"/>
  <c r="M317" i="13" s="1"/>
  <c r="O317" i="13" s="1"/>
  <c r="Q316" i="13"/>
  <c r="I316" i="13"/>
  <c r="K316" i="13" s="1"/>
  <c r="M316" i="13" s="1"/>
  <c r="O316" i="13" s="1"/>
  <c r="Q315" i="13"/>
  <c r="I315" i="13"/>
  <c r="K315" i="13" s="1"/>
  <c r="M315" i="13" s="1"/>
  <c r="O315" i="13" s="1"/>
  <c r="N315" i="13" s="1"/>
  <c r="Q314" i="13"/>
  <c r="I314" i="13"/>
  <c r="K314" i="13" s="1"/>
  <c r="M314" i="13" s="1"/>
  <c r="O314" i="13" s="1"/>
  <c r="Q313" i="13"/>
  <c r="I313" i="13"/>
  <c r="K313" i="13" s="1"/>
  <c r="M313" i="13" s="1"/>
  <c r="O313" i="13" s="1"/>
  <c r="P313" i="13" s="1"/>
  <c r="Q312" i="13"/>
  <c r="I312" i="13"/>
  <c r="K312" i="13" s="1"/>
  <c r="M312" i="13" s="1"/>
  <c r="O312" i="13" s="1"/>
  <c r="Q311" i="13"/>
  <c r="I311" i="13"/>
  <c r="K311" i="13" s="1"/>
  <c r="M311" i="13" s="1"/>
  <c r="O311" i="13" s="1"/>
  <c r="N311" i="13" s="1"/>
  <c r="Q310" i="13"/>
  <c r="I310" i="13"/>
  <c r="K310" i="13" s="1"/>
  <c r="M310" i="13" s="1"/>
  <c r="O310" i="13" s="1"/>
  <c r="Q309" i="13"/>
  <c r="I309" i="13"/>
  <c r="K309" i="13" s="1"/>
  <c r="M309" i="13" s="1"/>
  <c r="O309" i="13" s="1"/>
  <c r="Q308" i="13"/>
  <c r="I308" i="13"/>
  <c r="K308" i="13" s="1"/>
  <c r="M308" i="13" s="1"/>
  <c r="O308" i="13" s="1"/>
  <c r="Q307" i="13"/>
  <c r="I307" i="13"/>
  <c r="K307" i="13" s="1"/>
  <c r="M307" i="13" s="1"/>
  <c r="O307" i="13" s="1"/>
  <c r="N307" i="13" s="1"/>
  <c r="Q306" i="13"/>
  <c r="I306" i="13"/>
  <c r="K306" i="13" s="1"/>
  <c r="M306" i="13" s="1"/>
  <c r="O306" i="13" s="1"/>
  <c r="Q305" i="13"/>
  <c r="I305" i="13"/>
  <c r="K305" i="13" s="1"/>
  <c r="M305" i="13" s="1"/>
  <c r="O305" i="13" s="1"/>
  <c r="Q304" i="13"/>
  <c r="I304" i="13"/>
  <c r="K304" i="13" s="1"/>
  <c r="M304" i="13" s="1"/>
  <c r="O304" i="13" s="1"/>
  <c r="Q303" i="13"/>
  <c r="I303" i="13"/>
  <c r="K303" i="13" s="1"/>
  <c r="M303" i="13" s="1"/>
  <c r="O303" i="13" s="1"/>
  <c r="N303" i="13" s="1"/>
  <c r="Q302" i="13"/>
  <c r="I302" i="13"/>
  <c r="K302" i="13" s="1"/>
  <c r="M302" i="13" s="1"/>
  <c r="O302" i="13" s="1"/>
  <c r="Q301" i="13"/>
  <c r="I301" i="13"/>
  <c r="K301" i="13" s="1"/>
  <c r="M301" i="13" s="1"/>
  <c r="O301" i="13" s="1"/>
  <c r="P301" i="13" s="1"/>
  <c r="Q300" i="13"/>
  <c r="I300" i="13"/>
  <c r="K300" i="13" s="1"/>
  <c r="M300" i="13" s="1"/>
  <c r="O300" i="13" s="1"/>
  <c r="Q299" i="13"/>
  <c r="I299" i="13"/>
  <c r="K299" i="13" s="1"/>
  <c r="M299" i="13" s="1"/>
  <c r="O299" i="13" s="1"/>
  <c r="N299" i="13" s="1"/>
  <c r="Q298" i="13"/>
  <c r="I298" i="13"/>
  <c r="K298" i="13" s="1"/>
  <c r="M298" i="13" s="1"/>
  <c r="O298" i="13" s="1"/>
  <c r="Q297" i="13"/>
  <c r="I297" i="13"/>
  <c r="K297" i="13" s="1"/>
  <c r="M297" i="13" s="1"/>
  <c r="O297" i="13" s="1"/>
  <c r="Q296" i="13"/>
  <c r="I296" i="13"/>
  <c r="K296" i="13" s="1"/>
  <c r="M296" i="13" s="1"/>
  <c r="O296" i="13" s="1"/>
  <c r="Q295" i="13"/>
  <c r="I295" i="13"/>
  <c r="K295" i="13" s="1"/>
  <c r="M295" i="13" s="1"/>
  <c r="O295" i="13" s="1"/>
  <c r="N295" i="13" s="1"/>
  <c r="Q294" i="13"/>
  <c r="I294" i="13"/>
  <c r="K294" i="13" s="1"/>
  <c r="M294" i="13" s="1"/>
  <c r="O294" i="13" s="1"/>
  <c r="Q293" i="13"/>
  <c r="I293" i="13"/>
  <c r="K293" i="13" s="1"/>
  <c r="M293" i="13" s="1"/>
  <c r="O293" i="13" s="1"/>
  <c r="Q292" i="13"/>
  <c r="I292" i="13"/>
  <c r="K292" i="13" s="1"/>
  <c r="M292" i="13" s="1"/>
  <c r="O292" i="13" s="1"/>
  <c r="Q291" i="13"/>
  <c r="K291" i="13"/>
  <c r="M291" i="13" s="1"/>
  <c r="O291" i="13" s="1"/>
  <c r="N291" i="13" s="1"/>
  <c r="I291" i="13"/>
  <c r="Q290" i="13"/>
  <c r="I290" i="13"/>
  <c r="K290" i="13" s="1"/>
  <c r="M290" i="13" s="1"/>
  <c r="O290" i="13" s="1"/>
  <c r="Q289" i="13"/>
  <c r="I289" i="13"/>
  <c r="K289" i="13" s="1"/>
  <c r="M289" i="13" s="1"/>
  <c r="O289" i="13" s="1"/>
  <c r="Q288" i="13"/>
  <c r="I288" i="13"/>
  <c r="K288" i="13" s="1"/>
  <c r="M288" i="13" s="1"/>
  <c r="O288" i="13" s="1"/>
  <c r="Q287" i="13"/>
  <c r="I287" i="13"/>
  <c r="K287" i="13" s="1"/>
  <c r="M287" i="13" s="1"/>
  <c r="O287" i="13" s="1"/>
  <c r="N287" i="13" s="1"/>
  <c r="Q286" i="13"/>
  <c r="I286" i="13"/>
  <c r="K286" i="13" s="1"/>
  <c r="M286" i="13" s="1"/>
  <c r="O286" i="13" s="1"/>
  <c r="Q285" i="13"/>
  <c r="I285" i="13"/>
  <c r="K285" i="13" s="1"/>
  <c r="M285" i="13" s="1"/>
  <c r="O285" i="13" s="1"/>
  <c r="Q284" i="13"/>
  <c r="I284" i="13"/>
  <c r="K284" i="13" s="1"/>
  <c r="M284" i="13" s="1"/>
  <c r="O284" i="13" s="1"/>
  <c r="Q283" i="13"/>
  <c r="I283" i="13"/>
  <c r="K283" i="13" s="1"/>
  <c r="M283" i="13" s="1"/>
  <c r="O283" i="13" s="1"/>
  <c r="Q282" i="13"/>
  <c r="I282" i="13"/>
  <c r="K282" i="13" s="1"/>
  <c r="M282" i="13" s="1"/>
  <c r="O282" i="13" s="1"/>
  <c r="Q281" i="13"/>
  <c r="I281" i="13"/>
  <c r="K281" i="13" s="1"/>
  <c r="M281" i="13" s="1"/>
  <c r="O281" i="13" s="1"/>
  <c r="Q280" i="13"/>
  <c r="I280" i="13"/>
  <c r="K280" i="13" s="1"/>
  <c r="M280" i="13" s="1"/>
  <c r="O280" i="13" s="1"/>
  <c r="Q279" i="13"/>
  <c r="I279" i="13"/>
  <c r="K279" i="13" s="1"/>
  <c r="M279" i="13" s="1"/>
  <c r="O279" i="13" s="1"/>
  <c r="Q278" i="13"/>
  <c r="I278" i="13"/>
  <c r="K278" i="13" s="1"/>
  <c r="M278" i="13" s="1"/>
  <c r="O278" i="13" s="1"/>
  <c r="Q277" i="13"/>
  <c r="I277" i="13"/>
  <c r="K277" i="13" s="1"/>
  <c r="M277" i="13" s="1"/>
  <c r="O277" i="13" s="1"/>
  <c r="Q276" i="13"/>
  <c r="I276" i="13"/>
  <c r="K276" i="13" s="1"/>
  <c r="M276" i="13" s="1"/>
  <c r="O276" i="13" s="1"/>
  <c r="Q275" i="13"/>
  <c r="I275" i="13"/>
  <c r="K275" i="13" s="1"/>
  <c r="M275" i="13" s="1"/>
  <c r="O275" i="13" s="1"/>
  <c r="Q274" i="13"/>
  <c r="I274" i="13"/>
  <c r="K274" i="13" s="1"/>
  <c r="M274" i="13" s="1"/>
  <c r="O274" i="13" s="1"/>
  <c r="Q273" i="13"/>
  <c r="I273" i="13"/>
  <c r="K273" i="13" s="1"/>
  <c r="M273" i="13" s="1"/>
  <c r="O273" i="13" s="1"/>
  <c r="Q272" i="13"/>
  <c r="I272" i="13"/>
  <c r="K272" i="13" s="1"/>
  <c r="M272" i="13" s="1"/>
  <c r="O272" i="13" s="1"/>
  <c r="Q271" i="13"/>
  <c r="I271" i="13"/>
  <c r="K271" i="13" s="1"/>
  <c r="M271" i="13" s="1"/>
  <c r="O271" i="13" s="1"/>
  <c r="Q270" i="13"/>
  <c r="I270" i="13"/>
  <c r="K270" i="13" s="1"/>
  <c r="M270" i="13" s="1"/>
  <c r="O270" i="13" s="1"/>
  <c r="Q269" i="13"/>
  <c r="I269" i="13"/>
  <c r="K269" i="13" s="1"/>
  <c r="M269" i="13" s="1"/>
  <c r="O269" i="13" s="1"/>
  <c r="Q268" i="13"/>
  <c r="I268" i="13"/>
  <c r="K268" i="13" s="1"/>
  <c r="M268" i="13" s="1"/>
  <c r="O268" i="13" s="1"/>
  <c r="Q267" i="13"/>
  <c r="I267" i="13"/>
  <c r="K267" i="13" s="1"/>
  <c r="M267" i="13" s="1"/>
  <c r="O267" i="13" s="1"/>
  <c r="N267" i="13" s="1"/>
  <c r="Q266" i="13"/>
  <c r="I266" i="13"/>
  <c r="K266" i="13" s="1"/>
  <c r="M266" i="13" s="1"/>
  <c r="O266" i="13" s="1"/>
  <c r="Q265" i="13"/>
  <c r="I265" i="13"/>
  <c r="K265" i="13" s="1"/>
  <c r="M265" i="13" s="1"/>
  <c r="O265" i="13" s="1"/>
  <c r="Q264" i="13"/>
  <c r="I264" i="13"/>
  <c r="K264" i="13" s="1"/>
  <c r="M264" i="13" s="1"/>
  <c r="O264" i="13" s="1"/>
  <c r="Q263" i="13"/>
  <c r="I263" i="13"/>
  <c r="K263" i="13" s="1"/>
  <c r="M263" i="13" s="1"/>
  <c r="O263" i="13" s="1"/>
  <c r="N263" i="13" s="1"/>
  <c r="Q262" i="13"/>
  <c r="I262" i="13"/>
  <c r="K262" i="13" s="1"/>
  <c r="M262" i="13" s="1"/>
  <c r="O262" i="13" s="1"/>
  <c r="Q261" i="13"/>
  <c r="I261" i="13"/>
  <c r="K261" i="13" s="1"/>
  <c r="M261" i="13" s="1"/>
  <c r="O261" i="13" s="1"/>
  <c r="Q260" i="13"/>
  <c r="I260" i="13"/>
  <c r="K260" i="13" s="1"/>
  <c r="M260" i="13" s="1"/>
  <c r="O260" i="13" s="1"/>
  <c r="Q259" i="13"/>
  <c r="I259" i="13"/>
  <c r="K259" i="13" s="1"/>
  <c r="M259" i="13" s="1"/>
  <c r="O259" i="13" s="1"/>
  <c r="Q258" i="13"/>
  <c r="I258" i="13"/>
  <c r="K258" i="13" s="1"/>
  <c r="M258" i="13" s="1"/>
  <c r="O258" i="13" s="1"/>
  <c r="Q257" i="13"/>
  <c r="I257" i="13"/>
  <c r="K257" i="13" s="1"/>
  <c r="M257" i="13" s="1"/>
  <c r="O257" i="13" s="1"/>
  <c r="Q256" i="13"/>
  <c r="I256" i="13"/>
  <c r="K256" i="13" s="1"/>
  <c r="M256" i="13" s="1"/>
  <c r="O256" i="13" s="1"/>
  <c r="Q255" i="13"/>
  <c r="I255" i="13"/>
  <c r="K255" i="13" s="1"/>
  <c r="M255" i="13" s="1"/>
  <c r="O255" i="13" s="1"/>
  <c r="Q254" i="13"/>
  <c r="I254" i="13"/>
  <c r="K254" i="13" s="1"/>
  <c r="M254" i="13" s="1"/>
  <c r="O254" i="13" s="1"/>
  <c r="Q253" i="13"/>
  <c r="I253" i="13"/>
  <c r="K253" i="13" s="1"/>
  <c r="M253" i="13" s="1"/>
  <c r="O253" i="13" s="1"/>
  <c r="Q252" i="13"/>
  <c r="I252" i="13"/>
  <c r="K252" i="13" s="1"/>
  <c r="M252" i="13" s="1"/>
  <c r="O252" i="13" s="1"/>
  <c r="Q251" i="13"/>
  <c r="I251" i="13"/>
  <c r="K251" i="13" s="1"/>
  <c r="M251" i="13" s="1"/>
  <c r="O251" i="13" s="1"/>
  <c r="Q250" i="13"/>
  <c r="I250" i="13"/>
  <c r="K250" i="13" s="1"/>
  <c r="M250" i="13" s="1"/>
  <c r="O250" i="13" s="1"/>
  <c r="Q249" i="13"/>
  <c r="I249" i="13"/>
  <c r="K249" i="13" s="1"/>
  <c r="M249" i="13" s="1"/>
  <c r="O249" i="13" s="1"/>
  <c r="Q248" i="13"/>
  <c r="I248" i="13"/>
  <c r="K248" i="13" s="1"/>
  <c r="M248" i="13" s="1"/>
  <c r="O248" i="13" s="1"/>
  <c r="Q247" i="13"/>
  <c r="I247" i="13"/>
  <c r="K247" i="13" s="1"/>
  <c r="M247" i="13" s="1"/>
  <c r="O247" i="13" s="1"/>
  <c r="Q246" i="13"/>
  <c r="I246" i="13"/>
  <c r="K246" i="13" s="1"/>
  <c r="M246" i="13" s="1"/>
  <c r="O246" i="13" s="1"/>
  <c r="Q245" i="13"/>
  <c r="I245" i="13"/>
  <c r="K245" i="13" s="1"/>
  <c r="M245" i="13" s="1"/>
  <c r="O245" i="13" s="1"/>
  <c r="Q244" i="13"/>
  <c r="I244" i="13"/>
  <c r="K244" i="13" s="1"/>
  <c r="M244" i="13" s="1"/>
  <c r="O244" i="13" s="1"/>
  <c r="Q243" i="13"/>
  <c r="I243" i="13"/>
  <c r="K243" i="13" s="1"/>
  <c r="M243" i="13" s="1"/>
  <c r="O243" i="13" s="1"/>
  <c r="Q242" i="13"/>
  <c r="I242" i="13"/>
  <c r="K242" i="13" s="1"/>
  <c r="M242" i="13" s="1"/>
  <c r="O242" i="13" s="1"/>
  <c r="Q241" i="13"/>
  <c r="I241" i="13"/>
  <c r="K241" i="13" s="1"/>
  <c r="M241" i="13" s="1"/>
  <c r="O241" i="13" s="1"/>
  <c r="Q240" i="13"/>
  <c r="I240" i="13"/>
  <c r="K240" i="13" s="1"/>
  <c r="M240" i="13" s="1"/>
  <c r="O240" i="13" s="1"/>
  <c r="Q239" i="13"/>
  <c r="I239" i="13"/>
  <c r="K239" i="13" s="1"/>
  <c r="M239" i="13" s="1"/>
  <c r="O239" i="13" s="1"/>
  <c r="N239" i="13" s="1"/>
  <c r="Q238" i="13"/>
  <c r="I238" i="13"/>
  <c r="K238" i="13" s="1"/>
  <c r="M238" i="13" s="1"/>
  <c r="O238" i="13" s="1"/>
  <c r="Q237" i="13"/>
  <c r="I237" i="13"/>
  <c r="K237" i="13" s="1"/>
  <c r="M237" i="13" s="1"/>
  <c r="O237" i="13" s="1"/>
  <c r="Q236" i="13"/>
  <c r="I236" i="13"/>
  <c r="K236" i="13" s="1"/>
  <c r="M236" i="13" s="1"/>
  <c r="O236" i="13" s="1"/>
  <c r="Q235" i="13"/>
  <c r="I235" i="13"/>
  <c r="K235" i="13" s="1"/>
  <c r="M235" i="13" s="1"/>
  <c r="O235" i="13" s="1"/>
  <c r="Q234" i="13"/>
  <c r="I234" i="13"/>
  <c r="K234" i="13" s="1"/>
  <c r="M234" i="13" s="1"/>
  <c r="O234" i="13" s="1"/>
  <c r="Q233" i="13"/>
  <c r="I233" i="13"/>
  <c r="K233" i="13" s="1"/>
  <c r="M233" i="13" s="1"/>
  <c r="O233" i="13" s="1"/>
  <c r="Q232" i="13"/>
  <c r="I232" i="13"/>
  <c r="K232" i="13" s="1"/>
  <c r="M232" i="13" s="1"/>
  <c r="O232" i="13" s="1"/>
  <c r="Q231" i="13"/>
  <c r="I231" i="13"/>
  <c r="K231" i="13" s="1"/>
  <c r="M231" i="13" s="1"/>
  <c r="O231" i="13" s="1"/>
  <c r="N231" i="13" s="1"/>
  <c r="Q230" i="13"/>
  <c r="I230" i="13"/>
  <c r="K230" i="13" s="1"/>
  <c r="M230" i="13" s="1"/>
  <c r="O230" i="13" s="1"/>
  <c r="Q229" i="13"/>
  <c r="I229" i="13"/>
  <c r="K229" i="13" s="1"/>
  <c r="M229" i="13" s="1"/>
  <c r="O229" i="13" s="1"/>
  <c r="Q228" i="13"/>
  <c r="I228" i="13"/>
  <c r="K228" i="13" s="1"/>
  <c r="M228" i="13" s="1"/>
  <c r="O228" i="13" s="1"/>
  <c r="Q227" i="13"/>
  <c r="I227" i="13"/>
  <c r="K227" i="13" s="1"/>
  <c r="M227" i="13" s="1"/>
  <c r="O227" i="13" s="1"/>
  <c r="Q226" i="13"/>
  <c r="I226" i="13"/>
  <c r="K226" i="13" s="1"/>
  <c r="M226" i="13" s="1"/>
  <c r="O226" i="13" s="1"/>
  <c r="Q225" i="13"/>
  <c r="I225" i="13"/>
  <c r="K225" i="13" s="1"/>
  <c r="M225" i="13" s="1"/>
  <c r="O225" i="13" s="1"/>
  <c r="Q224" i="13"/>
  <c r="I224" i="13"/>
  <c r="K224" i="13" s="1"/>
  <c r="M224" i="13" s="1"/>
  <c r="O224" i="13" s="1"/>
  <c r="Q223" i="13"/>
  <c r="I223" i="13"/>
  <c r="K223" i="13" s="1"/>
  <c r="M223" i="13" s="1"/>
  <c r="O223" i="13" s="1"/>
  <c r="Q222" i="13"/>
  <c r="I222" i="13"/>
  <c r="K222" i="13" s="1"/>
  <c r="M222" i="13" s="1"/>
  <c r="O222" i="13" s="1"/>
  <c r="Q221" i="13"/>
  <c r="I221" i="13"/>
  <c r="K221" i="13" s="1"/>
  <c r="M221" i="13" s="1"/>
  <c r="O221" i="13" s="1"/>
  <c r="Q220" i="13"/>
  <c r="I220" i="13"/>
  <c r="K220" i="13" s="1"/>
  <c r="M220" i="13" s="1"/>
  <c r="O220" i="13" s="1"/>
  <c r="Q219" i="13"/>
  <c r="I219" i="13"/>
  <c r="K219" i="13" s="1"/>
  <c r="M219" i="13" s="1"/>
  <c r="O219" i="13" s="1"/>
  <c r="Q218" i="13"/>
  <c r="I218" i="13"/>
  <c r="K218" i="13" s="1"/>
  <c r="M218" i="13" s="1"/>
  <c r="O218" i="13" s="1"/>
  <c r="Q217" i="13"/>
  <c r="I217" i="13"/>
  <c r="K217" i="13" s="1"/>
  <c r="M217" i="13" s="1"/>
  <c r="O217" i="13" s="1"/>
  <c r="Q216" i="13"/>
  <c r="I216" i="13"/>
  <c r="K216" i="13" s="1"/>
  <c r="M216" i="13" s="1"/>
  <c r="O216" i="13" s="1"/>
  <c r="Q215" i="13"/>
  <c r="I215" i="13"/>
  <c r="K215" i="13" s="1"/>
  <c r="M215" i="13" s="1"/>
  <c r="O215" i="13" s="1"/>
  <c r="Q214" i="13"/>
  <c r="I214" i="13"/>
  <c r="K214" i="13" s="1"/>
  <c r="M214" i="13" s="1"/>
  <c r="O214" i="13" s="1"/>
  <c r="Q213" i="13"/>
  <c r="I213" i="13"/>
  <c r="K213" i="13" s="1"/>
  <c r="M213" i="13" s="1"/>
  <c r="O213" i="13" s="1"/>
  <c r="Q212" i="13"/>
  <c r="I212" i="13"/>
  <c r="K212" i="13" s="1"/>
  <c r="M212" i="13" s="1"/>
  <c r="O212" i="13" s="1"/>
  <c r="Q211" i="13"/>
  <c r="I211" i="13"/>
  <c r="K211" i="13" s="1"/>
  <c r="M211" i="13" s="1"/>
  <c r="O211" i="13" s="1"/>
  <c r="Q210" i="13"/>
  <c r="I210" i="13"/>
  <c r="K210" i="13" s="1"/>
  <c r="M210" i="13" s="1"/>
  <c r="O210" i="13" s="1"/>
  <c r="Q209" i="13"/>
  <c r="I209" i="13"/>
  <c r="K209" i="13" s="1"/>
  <c r="M209" i="13" s="1"/>
  <c r="O209" i="13" s="1"/>
  <c r="Q208" i="13"/>
  <c r="I208" i="13"/>
  <c r="K208" i="13" s="1"/>
  <c r="M208" i="13" s="1"/>
  <c r="O208" i="13" s="1"/>
  <c r="Q207" i="13"/>
  <c r="I207" i="13"/>
  <c r="K207" i="13" s="1"/>
  <c r="M207" i="13" s="1"/>
  <c r="O207" i="13" s="1"/>
  <c r="N207" i="13" s="1"/>
  <c r="Q206" i="13"/>
  <c r="I206" i="13"/>
  <c r="K206" i="13" s="1"/>
  <c r="M206" i="13" s="1"/>
  <c r="O206" i="13" s="1"/>
  <c r="Q205" i="13"/>
  <c r="I205" i="13"/>
  <c r="K205" i="13" s="1"/>
  <c r="M205" i="13" s="1"/>
  <c r="O205" i="13" s="1"/>
  <c r="Q204" i="13"/>
  <c r="I204" i="13"/>
  <c r="K204" i="13" s="1"/>
  <c r="M204" i="13" s="1"/>
  <c r="O204" i="13" s="1"/>
  <c r="Q203" i="13"/>
  <c r="I203" i="13"/>
  <c r="K203" i="13" s="1"/>
  <c r="M203" i="13" s="1"/>
  <c r="O203" i="13" s="1"/>
  <c r="Q202" i="13"/>
  <c r="I202" i="13"/>
  <c r="K202" i="13" s="1"/>
  <c r="M202" i="13" s="1"/>
  <c r="O202" i="13" s="1"/>
  <c r="Q201" i="13"/>
  <c r="I201" i="13"/>
  <c r="K201" i="13" s="1"/>
  <c r="M201" i="13" s="1"/>
  <c r="O201" i="13" s="1"/>
  <c r="Q200" i="13"/>
  <c r="I200" i="13"/>
  <c r="K200" i="13" s="1"/>
  <c r="M200" i="13" s="1"/>
  <c r="O200" i="13" s="1"/>
  <c r="Q199" i="13"/>
  <c r="I199" i="13"/>
  <c r="K199" i="13" s="1"/>
  <c r="M199" i="13" s="1"/>
  <c r="O199" i="13" s="1"/>
  <c r="N199" i="13" s="1"/>
  <c r="Q198" i="13"/>
  <c r="I198" i="13"/>
  <c r="K198" i="13" s="1"/>
  <c r="M198" i="13" s="1"/>
  <c r="O198" i="13" s="1"/>
  <c r="Q197" i="13"/>
  <c r="I197" i="13"/>
  <c r="K197" i="13" s="1"/>
  <c r="M197" i="13" s="1"/>
  <c r="O197" i="13" s="1"/>
  <c r="Q196" i="13"/>
  <c r="I196" i="13"/>
  <c r="K196" i="13" s="1"/>
  <c r="M196" i="13" s="1"/>
  <c r="O196" i="13" s="1"/>
  <c r="Q195" i="13"/>
  <c r="I195" i="13"/>
  <c r="K195" i="13" s="1"/>
  <c r="M195" i="13" s="1"/>
  <c r="O195" i="13" s="1"/>
  <c r="Q194" i="13"/>
  <c r="I194" i="13"/>
  <c r="K194" i="13" s="1"/>
  <c r="M194" i="13" s="1"/>
  <c r="O194" i="13" s="1"/>
  <c r="Q193" i="13"/>
  <c r="I193" i="13"/>
  <c r="K193" i="13" s="1"/>
  <c r="M193" i="13" s="1"/>
  <c r="O193" i="13" s="1"/>
  <c r="N193" i="13" s="1"/>
  <c r="Q192" i="13"/>
  <c r="I192" i="13"/>
  <c r="K192" i="13" s="1"/>
  <c r="M192" i="13" s="1"/>
  <c r="O192" i="13" s="1"/>
  <c r="Q191" i="13"/>
  <c r="I191" i="13"/>
  <c r="K191" i="13" s="1"/>
  <c r="M191" i="13" s="1"/>
  <c r="O191" i="13" s="1"/>
  <c r="Q190" i="13"/>
  <c r="I190" i="13"/>
  <c r="K190" i="13" s="1"/>
  <c r="M190" i="13" s="1"/>
  <c r="O190" i="13" s="1"/>
  <c r="Q189" i="13"/>
  <c r="I189" i="13"/>
  <c r="K189" i="13" s="1"/>
  <c r="M189" i="13" s="1"/>
  <c r="O189" i="13" s="1"/>
  <c r="N189" i="13" s="1"/>
  <c r="Q188" i="13"/>
  <c r="I188" i="13"/>
  <c r="K188" i="13" s="1"/>
  <c r="M188" i="13" s="1"/>
  <c r="O188" i="13" s="1"/>
  <c r="Q187" i="13"/>
  <c r="I187" i="13"/>
  <c r="K187" i="13" s="1"/>
  <c r="M187" i="13" s="1"/>
  <c r="O187" i="13" s="1"/>
  <c r="Q186" i="13"/>
  <c r="I186" i="13"/>
  <c r="K186" i="13" s="1"/>
  <c r="M186" i="13" s="1"/>
  <c r="O186" i="13" s="1"/>
  <c r="Q185" i="13"/>
  <c r="I185" i="13"/>
  <c r="K185" i="13" s="1"/>
  <c r="M185" i="13" s="1"/>
  <c r="O185" i="13" s="1"/>
  <c r="N185" i="13" s="1"/>
  <c r="Q184" i="13"/>
  <c r="I184" i="13"/>
  <c r="K184" i="13" s="1"/>
  <c r="M184" i="13" s="1"/>
  <c r="O184" i="13" s="1"/>
  <c r="Q183" i="13"/>
  <c r="I183" i="13"/>
  <c r="K183" i="13" s="1"/>
  <c r="M183" i="13" s="1"/>
  <c r="O183" i="13" s="1"/>
  <c r="Q182" i="13"/>
  <c r="I182" i="13"/>
  <c r="K182" i="13" s="1"/>
  <c r="M182" i="13" s="1"/>
  <c r="O182" i="13" s="1"/>
  <c r="Q181" i="13"/>
  <c r="I181" i="13"/>
  <c r="K181" i="13" s="1"/>
  <c r="M181" i="13" s="1"/>
  <c r="O181" i="13" s="1"/>
  <c r="N181" i="13" s="1"/>
  <c r="Q180" i="13"/>
  <c r="I180" i="13"/>
  <c r="K180" i="13" s="1"/>
  <c r="M180" i="13" s="1"/>
  <c r="O180" i="13" s="1"/>
  <c r="Q179" i="13"/>
  <c r="I179" i="13"/>
  <c r="K179" i="13" s="1"/>
  <c r="M179" i="13" s="1"/>
  <c r="O179" i="13" s="1"/>
  <c r="Q178" i="13"/>
  <c r="I178" i="13"/>
  <c r="K178" i="13" s="1"/>
  <c r="M178" i="13" s="1"/>
  <c r="O178" i="13" s="1"/>
  <c r="Q177" i="13"/>
  <c r="I177" i="13"/>
  <c r="K177" i="13" s="1"/>
  <c r="M177" i="13" s="1"/>
  <c r="O177" i="13" s="1"/>
  <c r="N177" i="13" s="1"/>
  <c r="Q176" i="13"/>
  <c r="I176" i="13"/>
  <c r="K176" i="13" s="1"/>
  <c r="M176" i="13" s="1"/>
  <c r="O176" i="13" s="1"/>
  <c r="Q175" i="13"/>
  <c r="I175" i="13"/>
  <c r="K175" i="13" s="1"/>
  <c r="M175" i="13" s="1"/>
  <c r="O175" i="13" s="1"/>
  <c r="Q174" i="13"/>
  <c r="I174" i="13"/>
  <c r="K174" i="13" s="1"/>
  <c r="M174" i="13" s="1"/>
  <c r="O174" i="13" s="1"/>
  <c r="Q173" i="13"/>
  <c r="I173" i="13"/>
  <c r="K173" i="13" s="1"/>
  <c r="M173" i="13" s="1"/>
  <c r="O173" i="13" s="1"/>
  <c r="N173" i="13" s="1"/>
  <c r="Q172" i="13"/>
  <c r="I172" i="13"/>
  <c r="K172" i="13" s="1"/>
  <c r="M172" i="13" s="1"/>
  <c r="O172" i="13" s="1"/>
  <c r="Q171" i="13"/>
  <c r="I171" i="13"/>
  <c r="K171" i="13" s="1"/>
  <c r="M171" i="13" s="1"/>
  <c r="O171" i="13" s="1"/>
  <c r="Q170" i="13"/>
  <c r="I170" i="13"/>
  <c r="K170" i="13" s="1"/>
  <c r="M170" i="13" s="1"/>
  <c r="O170" i="13" s="1"/>
  <c r="Q169" i="13"/>
  <c r="I169" i="13"/>
  <c r="K169" i="13" s="1"/>
  <c r="M169" i="13" s="1"/>
  <c r="O169" i="13" s="1"/>
  <c r="Q168" i="13"/>
  <c r="I168" i="13"/>
  <c r="K168" i="13" s="1"/>
  <c r="M168" i="13" s="1"/>
  <c r="O168" i="13" s="1"/>
  <c r="Q167" i="13"/>
  <c r="I167" i="13"/>
  <c r="K167" i="13" s="1"/>
  <c r="M167" i="13" s="1"/>
  <c r="O167" i="13" s="1"/>
  <c r="N167" i="13" s="1"/>
  <c r="Q166" i="13"/>
  <c r="I166" i="13"/>
  <c r="K166" i="13" s="1"/>
  <c r="M166" i="13" s="1"/>
  <c r="O166" i="13" s="1"/>
  <c r="Q165" i="13"/>
  <c r="I165" i="13"/>
  <c r="K165" i="13" s="1"/>
  <c r="M165" i="13" s="1"/>
  <c r="O165" i="13" s="1"/>
  <c r="Q164" i="13"/>
  <c r="I164" i="13"/>
  <c r="K164" i="13" s="1"/>
  <c r="M164" i="13" s="1"/>
  <c r="O164" i="13" s="1"/>
  <c r="Q163" i="13"/>
  <c r="I163" i="13"/>
  <c r="K163" i="13" s="1"/>
  <c r="M163" i="13" s="1"/>
  <c r="O163" i="13" s="1"/>
  <c r="Q162" i="13"/>
  <c r="I162" i="13"/>
  <c r="K162" i="13" s="1"/>
  <c r="M162" i="13" s="1"/>
  <c r="O162" i="13" s="1"/>
  <c r="Q161" i="13"/>
  <c r="I161" i="13"/>
  <c r="K161" i="13" s="1"/>
  <c r="M161" i="13" s="1"/>
  <c r="O161" i="13" s="1"/>
  <c r="Q160" i="13"/>
  <c r="I160" i="13"/>
  <c r="K160" i="13" s="1"/>
  <c r="M160" i="13" s="1"/>
  <c r="O160" i="13" s="1"/>
  <c r="Q159" i="13"/>
  <c r="I159" i="13"/>
  <c r="K159" i="13" s="1"/>
  <c r="M159" i="13" s="1"/>
  <c r="O159" i="13" s="1"/>
  <c r="Q158" i="13"/>
  <c r="I158" i="13"/>
  <c r="K158" i="13" s="1"/>
  <c r="M158" i="13" s="1"/>
  <c r="O158" i="13" s="1"/>
  <c r="Q157" i="13"/>
  <c r="I157" i="13"/>
  <c r="K157" i="13" s="1"/>
  <c r="M157" i="13" s="1"/>
  <c r="O157" i="13" s="1"/>
  <c r="Q156" i="13"/>
  <c r="I156" i="13"/>
  <c r="K156" i="13" s="1"/>
  <c r="M156" i="13" s="1"/>
  <c r="O156" i="13" s="1"/>
  <c r="Q155" i="13"/>
  <c r="I155" i="13"/>
  <c r="K155" i="13" s="1"/>
  <c r="M155" i="13" s="1"/>
  <c r="O155" i="13" s="1"/>
  <c r="Q154" i="13"/>
  <c r="I154" i="13"/>
  <c r="K154" i="13" s="1"/>
  <c r="M154" i="13" s="1"/>
  <c r="O154" i="13" s="1"/>
  <c r="Q153" i="13"/>
  <c r="I153" i="13"/>
  <c r="K153" i="13" s="1"/>
  <c r="M153" i="13" s="1"/>
  <c r="O153" i="13" s="1"/>
  <c r="Q152" i="13"/>
  <c r="I152" i="13"/>
  <c r="K152" i="13" s="1"/>
  <c r="M152" i="13" s="1"/>
  <c r="O152" i="13" s="1"/>
  <c r="Q151" i="13"/>
  <c r="I151" i="13"/>
  <c r="K151" i="13" s="1"/>
  <c r="M151" i="13" s="1"/>
  <c r="O151" i="13" s="1"/>
  <c r="Q150" i="13"/>
  <c r="I150" i="13"/>
  <c r="K150" i="13" s="1"/>
  <c r="M150" i="13" s="1"/>
  <c r="O150" i="13" s="1"/>
  <c r="Q149" i="13"/>
  <c r="I149" i="13"/>
  <c r="K149" i="13" s="1"/>
  <c r="M149" i="13" s="1"/>
  <c r="O149" i="13" s="1"/>
  <c r="Q148" i="13"/>
  <c r="I148" i="13"/>
  <c r="K148" i="13" s="1"/>
  <c r="M148" i="13" s="1"/>
  <c r="O148" i="13" s="1"/>
  <c r="Q147" i="13"/>
  <c r="I147" i="13"/>
  <c r="K147" i="13" s="1"/>
  <c r="M147" i="13" s="1"/>
  <c r="O147" i="13" s="1"/>
  <c r="Q146" i="13"/>
  <c r="I146" i="13"/>
  <c r="K146" i="13" s="1"/>
  <c r="M146" i="13" s="1"/>
  <c r="O146" i="13" s="1"/>
  <c r="Q145" i="13"/>
  <c r="I145" i="13"/>
  <c r="K145" i="13" s="1"/>
  <c r="M145" i="13" s="1"/>
  <c r="O145" i="13" s="1"/>
  <c r="Q144" i="13"/>
  <c r="I144" i="13"/>
  <c r="K144" i="13" s="1"/>
  <c r="M144" i="13" s="1"/>
  <c r="O144" i="13" s="1"/>
  <c r="Q143" i="13"/>
  <c r="I143" i="13"/>
  <c r="K143" i="13" s="1"/>
  <c r="M143" i="13" s="1"/>
  <c r="O143" i="13" s="1"/>
  <c r="Q142" i="13"/>
  <c r="I142" i="13"/>
  <c r="K142" i="13" s="1"/>
  <c r="M142" i="13" s="1"/>
  <c r="O142" i="13" s="1"/>
  <c r="Q141" i="13"/>
  <c r="I141" i="13"/>
  <c r="K141" i="13" s="1"/>
  <c r="M141" i="13" s="1"/>
  <c r="O141" i="13" s="1"/>
  <c r="Q140" i="13"/>
  <c r="I140" i="13"/>
  <c r="K140" i="13" s="1"/>
  <c r="M140" i="13" s="1"/>
  <c r="O140" i="13" s="1"/>
  <c r="Q139" i="13"/>
  <c r="I139" i="13"/>
  <c r="K139" i="13" s="1"/>
  <c r="M139" i="13" s="1"/>
  <c r="O139" i="13" s="1"/>
  <c r="Q138" i="13"/>
  <c r="I138" i="13"/>
  <c r="K138" i="13" s="1"/>
  <c r="M138" i="13" s="1"/>
  <c r="O138" i="13" s="1"/>
  <c r="Q137" i="13"/>
  <c r="I137" i="13"/>
  <c r="K137" i="13" s="1"/>
  <c r="M137" i="13" s="1"/>
  <c r="O137" i="13" s="1"/>
  <c r="Q136" i="13"/>
  <c r="I136" i="13"/>
  <c r="K136" i="13" s="1"/>
  <c r="M136" i="13" s="1"/>
  <c r="O136" i="13" s="1"/>
  <c r="Q135" i="13"/>
  <c r="I135" i="13"/>
  <c r="K135" i="13" s="1"/>
  <c r="M135" i="13" s="1"/>
  <c r="O135" i="13" s="1"/>
  <c r="Q134" i="13"/>
  <c r="I134" i="13"/>
  <c r="K134" i="13" s="1"/>
  <c r="M134" i="13" s="1"/>
  <c r="O134" i="13" s="1"/>
  <c r="Q133" i="13"/>
  <c r="I133" i="13"/>
  <c r="K133" i="13" s="1"/>
  <c r="M133" i="13" s="1"/>
  <c r="O133" i="13" s="1"/>
  <c r="Q132" i="13"/>
  <c r="I132" i="13"/>
  <c r="K132" i="13" s="1"/>
  <c r="M132" i="13" s="1"/>
  <c r="O132" i="13" s="1"/>
  <c r="Q131" i="13"/>
  <c r="I131" i="13"/>
  <c r="K131" i="13" s="1"/>
  <c r="M131" i="13" s="1"/>
  <c r="O131" i="13" s="1"/>
  <c r="Q130" i="13"/>
  <c r="I130" i="13"/>
  <c r="K130" i="13" s="1"/>
  <c r="M130" i="13" s="1"/>
  <c r="O130" i="13" s="1"/>
  <c r="Q129" i="13"/>
  <c r="I129" i="13"/>
  <c r="K129" i="13" s="1"/>
  <c r="M129" i="13" s="1"/>
  <c r="O129" i="13" s="1"/>
  <c r="Q128" i="13"/>
  <c r="I128" i="13"/>
  <c r="K128" i="13" s="1"/>
  <c r="M128" i="13" s="1"/>
  <c r="O128" i="13" s="1"/>
  <c r="Q127" i="13"/>
  <c r="I127" i="13"/>
  <c r="K127" i="13" s="1"/>
  <c r="M127" i="13" s="1"/>
  <c r="O127" i="13" s="1"/>
  <c r="Q126" i="13"/>
  <c r="I126" i="13"/>
  <c r="K126" i="13" s="1"/>
  <c r="M126" i="13" s="1"/>
  <c r="O126" i="13" s="1"/>
  <c r="Q125" i="13"/>
  <c r="I125" i="13"/>
  <c r="K125" i="13" s="1"/>
  <c r="M125" i="13" s="1"/>
  <c r="O125" i="13" s="1"/>
  <c r="Q124" i="13"/>
  <c r="I124" i="13"/>
  <c r="K124" i="13" s="1"/>
  <c r="M124" i="13" s="1"/>
  <c r="O124" i="13" s="1"/>
  <c r="Q123" i="13"/>
  <c r="I123" i="13"/>
  <c r="K123" i="13" s="1"/>
  <c r="M123" i="13" s="1"/>
  <c r="O123" i="13" s="1"/>
  <c r="Q122" i="13"/>
  <c r="I122" i="13"/>
  <c r="K122" i="13" s="1"/>
  <c r="M122" i="13" s="1"/>
  <c r="O122" i="13" s="1"/>
  <c r="Q121" i="13"/>
  <c r="I121" i="13"/>
  <c r="K121" i="13" s="1"/>
  <c r="M121" i="13" s="1"/>
  <c r="O121" i="13" s="1"/>
  <c r="Q120" i="13"/>
  <c r="I120" i="13"/>
  <c r="K120" i="13" s="1"/>
  <c r="M120" i="13" s="1"/>
  <c r="O120" i="13" s="1"/>
  <c r="Q119" i="13"/>
  <c r="I119" i="13"/>
  <c r="K119" i="13" s="1"/>
  <c r="M119" i="13" s="1"/>
  <c r="O119" i="13" s="1"/>
  <c r="Q118" i="13"/>
  <c r="I118" i="13"/>
  <c r="K118" i="13" s="1"/>
  <c r="M118" i="13" s="1"/>
  <c r="O118" i="13" s="1"/>
  <c r="Q117" i="13"/>
  <c r="I117" i="13"/>
  <c r="K117" i="13" s="1"/>
  <c r="M117" i="13" s="1"/>
  <c r="O117" i="13" s="1"/>
  <c r="Q116" i="13"/>
  <c r="I116" i="13"/>
  <c r="K116" i="13" s="1"/>
  <c r="M116" i="13" s="1"/>
  <c r="O116" i="13" s="1"/>
  <c r="Q115" i="13"/>
  <c r="I115" i="13"/>
  <c r="K115" i="13" s="1"/>
  <c r="M115" i="13" s="1"/>
  <c r="O115" i="13" s="1"/>
  <c r="Q114" i="13"/>
  <c r="I114" i="13"/>
  <c r="K114" i="13" s="1"/>
  <c r="M114" i="13" s="1"/>
  <c r="O114" i="13" s="1"/>
  <c r="Q113" i="13"/>
  <c r="I113" i="13"/>
  <c r="K113" i="13" s="1"/>
  <c r="M113" i="13" s="1"/>
  <c r="O113" i="13" s="1"/>
  <c r="Q112" i="13"/>
  <c r="I112" i="13"/>
  <c r="K112" i="13" s="1"/>
  <c r="M112" i="13" s="1"/>
  <c r="O112" i="13" s="1"/>
  <c r="Q111" i="13"/>
  <c r="I111" i="13"/>
  <c r="K111" i="13" s="1"/>
  <c r="M111" i="13" s="1"/>
  <c r="O111" i="13" s="1"/>
  <c r="Q110" i="13"/>
  <c r="I110" i="13"/>
  <c r="K110" i="13" s="1"/>
  <c r="M110" i="13" s="1"/>
  <c r="O110" i="13" s="1"/>
  <c r="Q109" i="13"/>
  <c r="I109" i="13"/>
  <c r="K109" i="13" s="1"/>
  <c r="M109" i="13" s="1"/>
  <c r="O109" i="13" s="1"/>
  <c r="Q108" i="13"/>
  <c r="I108" i="13"/>
  <c r="K108" i="13" s="1"/>
  <c r="M108" i="13" s="1"/>
  <c r="O108" i="13" s="1"/>
  <c r="Q107" i="13"/>
  <c r="I107" i="13"/>
  <c r="K107" i="13" s="1"/>
  <c r="M107" i="13" s="1"/>
  <c r="O107" i="13" s="1"/>
  <c r="Q106" i="13"/>
  <c r="I106" i="13"/>
  <c r="K106" i="13" s="1"/>
  <c r="M106" i="13" s="1"/>
  <c r="O106" i="13" s="1"/>
  <c r="Q105" i="13"/>
  <c r="I105" i="13"/>
  <c r="K105" i="13" s="1"/>
  <c r="M105" i="13" s="1"/>
  <c r="O105" i="13" s="1"/>
  <c r="Q104" i="13"/>
  <c r="I104" i="13"/>
  <c r="K104" i="13" s="1"/>
  <c r="M104" i="13" s="1"/>
  <c r="O104" i="13" s="1"/>
  <c r="Q103" i="13"/>
  <c r="I103" i="13"/>
  <c r="K103" i="13" s="1"/>
  <c r="M103" i="13" s="1"/>
  <c r="O103" i="13" s="1"/>
  <c r="Q102" i="13"/>
  <c r="I102" i="13"/>
  <c r="K102" i="13" s="1"/>
  <c r="M102" i="13" s="1"/>
  <c r="O102" i="13" s="1"/>
  <c r="Q101" i="13"/>
  <c r="I101" i="13"/>
  <c r="K101" i="13" s="1"/>
  <c r="M101" i="13" s="1"/>
  <c r="O101" i="13" s="1"/>
  <c r="Q100" i="13"/>
  <c r="I100" i="13"/>
  <c r="K100" i="13" s="1"/>
  <c r="M100" i="13" s="1"/>
  <c r="O100" i="13" s="1"/>
  <c r="Q99" i="13"/>
  <c r="I99" i="13"/>
  <c r="K99" i="13" s="1"/>
  <c r="M99" i="13" s="1"/>
  <c r="O99" i="13" s="1"/>
  <c r="Q98" i="13"/>
  <c r="K98" i="13"/>
  <c r="M98" i="13" s="1"/>
  <c r="O98" i="13" s="1"/>
  <c r="Q97" i="13"/>
  <c r="I97" i="13"/>
  <c r="K97" i="13" s="1"/>
  <c r="M97" i="13" s="1"/>
  <c r="O97" i="13" s="1"/>
  <c r="Q96" i="13"/>
  <c r="I96" i="13"/>
  <c r="K96" i="13" s="1"/>
  <c r="M96" i="13" s="1"/>
  <c r="O96" i="13" s="1"/>
  <c r="Q95" i="13"/>
  <c r="I95" i="13"/>
  <c r="K95" i="13" s="1"/>
  <c r="M95" i="13" s="1"/>
  <c r="O95" i="13" s="1"/>
  <c r="Q94" i="13"/>
  <c r="I94" i="13"/>
  <c r="K94" i="13" s="1"/>
  <c r="M94" i="13" s="1"/>
  <c r="O94" i="13" s="1"/>
  <c r="Q93" i="13"/>
  <c r="I93" i="13"/>
  <c r="K93" i="13" s="1"/>
  <c r="M93" i="13" s="1"/>
  <c r="O93" i="13" s="1"/>
  <c r="Q92" i="13"/>
  <c r="I92" i="13"/>
  <c r="K92" i="13" s="1"/>
  <c r="M92" i="13" s="1"/>
  <c r="O92" i="13" s="1"/>
  <c r="Q91" i="13"/>
  <c r="I91" i="13"/>
  <c r="K91" i="13" s="1"/>
  <c r="M91" i="13" s="1"/>
  <c r="O91" i="13" s="1"/>
  <c r="Q90" i="13"/>
  <c r="I90" i="13"/>
  <c r="K90" i="13" s="1"/>
  <c r="M90" i="13" s="1"/>
  <c r="O90" i="13" s="1"/>
  <c r="Q89" i="13"/>
  <c r="I89" i="13"/>
  <c r="K89" i="13" s="1"/>
  <c r="M89" i="13" s="1"/>
  <c r="O89" i="13" s="1"/>
  <c r="Q88" i="13"/>
  <c r="I88" i="13"/>
  <c r="K88" i="13" s="1"/>
  <c r="M88" i="13" s="1"/>
  <c r="O88" i="13" s="1"/>
  <c r="Q87" i="13"/>
  <c r="I87" i="13"/>
  <c r="K87" i="13" s="1"/>
  <c r="M87" i="13" s="1"/>
  <c r="O87" i="13" s="1"/>
  <c r="Q86" i="13"/>
  <c r="I86" i="13"/>
  <c r="K86" i="13" s="1"/>
  <c r="M86" i="13" s="1"/>
  <c r="O86" i="13" s="1"/>
  <c r="Q85" i="13"/>
  <c r="I85" i="13"/>
  <c r="K85" i="13" s="1"/>
  <c r="M85" i="13" s="1"/>
  <c r="O85" i="13" s="1"/>
  <c r="Q84" i="13"/>
  <c r="I84" i="13"/>
  <c r="K84" i="13" s="1"/>
  <c r="M84" i="13" s="1"/>
  <c r="O84" i="13" s="1"/>
  <c r="Q83" i="13"/>
  <c r="I83" i="13"/>
  <c r="K83" i="13" s="1"/>
  <c r="M83" i="13" s="1"/>
  <c r="O83" i="13" s="1"/>
  <c r="Q82" i="13"/>
  <c r="I82" i="13"/>
  <c r="K82" i="13" s="1"/>
  <c r="M82" i="13" s="1"/>
  <c r="O82" i="13" s="1"/>
  <c r="Q81" i="13"/>
  <c r="I81" i="13"/>
  <c r="K81" i="13" s="1"/>
  <c r="M81" i="13" s="1"/>
  <c r="O81" i="13" s="1"/>
  <c r="Q80" i="13"/>
  <c r="I80" i="13"/>
  <c r="K80" i="13" s="1"/>
  <c r="M80" i="13" s="1"/>
  <c r="O80" i="13" s="1"/>
  <c r="Q79" i="13"/>
  <c r="I79" i="13"/>
  <c r="K79" i="13" s="1"/>
  <c r="M79" i="13" s="1"/>
  <c r="O79" i="13" s="1"/>
  <c r="Q78" i="13"/>
  <c r="I78" i="13"/>
  <c r="K78" i="13" s="1"/>
  <c r="M78" i="13" s="1"/>
  <c r="O78" i="13" s="1"/>
  <c r="Q77" i="13"/>
  <c r="I77" i="13"/>
  <c r="K77" i="13" s="1"/>
  <c r="M77" i="13" s="1"/>
  <c r="O77" i="13" s="1"/>
  <c r="Q76" i="13"/>
  <c r="I76" i="13"/>
  <c r="K76" i="13" s="1"/>
  <c r="M76" i="13" s="1"/>
  <c r="O76" i="13" s="1"/>
  <c r="Q75" i="13"/>
  <c r="I75" i="13"/>
  <c r="K75" i="13" s="1"/>
  <c r="M75" i="13" s="1"/>
  <c r="O75" i="13" s="1"/>
  <c r="Q74" i="13"/>
  <c r="I74" i="13"/>
  <c r="K74" i="13" s="1"/>
  <c r="M74" i="13" s="1"/>
  <c r="O74" i="13" s="1"/>
  <c r="N74" i="13" s="1"/>
  <c r="Q73" i="13"/>
  <c r="I73" i="13"/>
  <c r="K73" i="13" s="1"/>
  <c r="M73" i="13" s="1"/>
  <c r="O73" i="13" s="1"/>
  <c r="Q72" i="13"/>
  <c r="I72" i="13"/>
  <c r="K72" i="13" s="1"/>
  <c r="M72" i="13" s="1"/>
  <c r="O72" i="13" s="1"/>
  <c r="Q71" i="13"/>
  <c r="I71" i="13"/>
  <c r="K71" i="13" s="1"/>
  <c r="M71" i="13" s="1"/>
  <c r="O71" i="13" s="1"/>
  <c r="Q70" i="13"/>
  <c r="I70" i="13"/>
  <c r="K70" i="13" s="1"/>
  <c r="M70" i="13" s="1"/>
  <c r="O70" i="13" s="1"/>
  <c r="Q69" i="13"/>
  <c r="I69" i="13"/>
  <c r="K69" i="13" s="1"/>
  <c r="M69" i="13" s="1"/>
  <c r="O69" i="13" s="1"/>
  <c r="Q68" i="13"/>
  <c r="I68" i="13"/>
  <c r="K68" i="13" s="1"/>
  <c r="M68" i="13" s="1"/>
  <c r="O68" i="13" s="1"/>
  <c r="Q67" i="13"/>
  <c r="I67" i="13"/>
  <c r="K67" i="13" s="1"/>
  <c r="M67" i="13" s="1"/>
  <c r="O67" i="13" s="1"/>
  <c r="Q66" i="13"/>
  <c r="I66" i="13"/>
  <c r="K66" i="13" s="1"/>
  <c r="M66" i="13" s="1"/>
  <c r="O66" i="13" s="1"/>
  <c r="Q65" i="13"/>
  <c r="I65" i="13"/>
  <c r="K65" i="13" s="1"/>
  <c r="M65" i="13" s="1"/>
  <c r="O65" i="13" s="1"/>
  <c r="Q64" i="13"/>
  <c r="I64" i="13"/>
  <c r="K64" i="13" s="1"/>
  <c r="M64" i="13" s="1"/>
  <c r="O64" i="13" s="1"/>
  <c r="Q63" i="13"/>
  <c r="I63" i="13"/>
  <c r="K63" i="13" s="1"/>
  <c r="M63" i="13" s="1"/>
  <c r="O63" i="13" s="1"/>
  <c r="Q62" i="13"/>
  <c r="I62" i="13"/>
  <c r="K62" i="13" s="1"/>
  <c r="M62" i="13" s="1"/>
  <c r="O62" i="13" s="1"/>
  <c r="Q61" i="13"/>
  <c r="I61" i="13"/>
  <c r="K61" i="13" s="1"/>
  <c r="M61" i="13" s="1"/>
  <c r="O61" i="13" s="1"/>
  <c r="Q60" i="13"/>
  <c r="I60" i="13"/>
  <c r="K60" i="13" s="1"/>
  <c r="M60" i="13" s="1"/>
  <c r="O60" i="13" s="1"/>
  <c r="Q59" i="13"/>
  <c r="I59" i="13"/>
  <c r="K59" i="13" s="1"/>
  <c r="M59" i="13" s="1"/>
  <c r="O59" i="13" s="1"/>
  <c r="Q58" i="13"/>
  <c r="I58" i="13"/>
  <c r="K58" i="13" s="1"/>
  <c r="M58" i="13" s="1"/>
  <c r="O58" i="13" s="1"/>
  <c r="N58" i="13" s="1"/>
  <c r="Q57" i="13"/>
  <c r="I57" i="13"/>
  <c r="K57" i="13" s="1"/>
  <c r="M57" i="13" s="1"/>
  <c r="O57" i="13" s="1"/>
  <c r="Q56" i="13"/>
  <c r="I56" i="13"/>
  <c r="K56" i="13" s="1"/>
  <c r="M56" i="13" s="1"/>
  <c r="O56" i="13" s="1"/>
  <c r="N56" i="13" s="1"/>
  <c r="Q55" i="13"/>
  <c r="I55" i="13"/>
  <c r="K55" i="13" s="1"/>
  <c r="M55" i="13" s="1"/>
  <c r="O55" i="13" s="1"/>
  <c r="Q54" i="13"/>
  <c r="I54" i="13"/>
  <c r="K54" i="13" s="1"/>
  <c r="M54" i="13" s="1"/>
  <c r="O54" i="13" s="1"/>
  <c r="Q53" i="13"/>
  <c r="I53" i="13"/>
  <c r="K53" i="13" s="1"/>
  <c r="M53" i="13" s="1"/>
  <c r="O53" i="13" s="1"/>
  <c r="Q52" i="13"/>
  <c r="I52" i="13"/>
  <c r="K52" i="13" s="1"/>
  <c r="M52" i="13" s="1"/>
  <c r="O52" i="13" s="1"/>
  <c r="Q51" i="13"/>
  <c r="I51" i="13"/>
  <c r="K51" i="13" s="1"/>
  <c r="M51" i="13" s="1"/>
  <c r="O51" i="13" s="1"/>
  <c r="Q50" i="13"/>
  <c r="I50" i="13"/>
  <c r="K50" i="13" s="1"/>
  <c r="M50" i="13" s="1"/>
  <c r="O50" i="13" s="1"/>
  <c r="Q49" i="13"/>
  <c r="I49" i="13"/>
  <c r="K49" i="13" s="1"/>
  <c r="M49" i="13" s="1"/>
  <c r="O49" i="13" s="1"/>
  <c r="Q48" i="13"/>
  <c r="I48" i="13"/>
  <c r="K48" i="13" s="1"/>
  <c r="M48" i="13" s="1"/>
  <c r="O48" i="13" s="1"/>
  <c r="Q47" i="13"/>
  <c r="I47" i="13"/>
  <c r="K47" i="13" s="1"/>
  <c r="M47" i="13" s="1"/>
  <c r="O47" i="13" s="1"/>
  <c r="Q46" i="13"/>
  <c r="I46" i="13"/>
  <c r="K46" i="13" s="1"/>
  <c r="M46" i="13" s="1"/>
  <c r="O46" i="13" s="1"/>
  <c r="Q45" i="13"/>
  <c r="I45" i="13"/>
  <c r="K45" i="13" s="1"/>
  <c r="M45" i="13" s="1"/>
  <c r="O45" i="13" s="1"/>
  <c r="Q44" i="13"/>
  <c r="I44" i="13"/>
  <c r="K44" i="13" s="1"/>
  <c r="M44" i="13" s="1"/>
  <c r="O44" i="13" s="1"/>
  <c r="Q43" i="13"/>
  <c r="I43" i="13"/>
  <c r="K43" i="13" s="1"/>
  <c r="M43" i="13" s="1"/>
  <c r="O43" i="13" s="1"/>
  <c r="Q42" i="13"/>
  <c r="I42" i="13"/>
  <c r="K42" i="13" s="1"/>
  <c r="M42" i="13" s="1"/>
  <c r="O42" i="13" s="1"/>
  <c r="Q41" i="13"/>
  <c r="I41" i="13"/>
  <c r="K41" i="13" s="1"/>
  <c r="M41" i="13" s="1"/>
  <c r="O41" i="13" s="1"/>
  <c r="Q40" i="13"/>
  <c r="I40" i="13"/>
  <c r="K40" i="13" s="1"/>
  <c r="M40" i="13" s="1"/>
  <c r="O40" i="13" s="1"/>
  <c r="Q39" i="13"/>
  <c r="I39" i="13"/>
  <c r="K39" i="13" s="1"/>
  <c r="M39" i="13" s="1"/>
  <c r="O39" i="13" s="1"/>
  <c r="Q38" i="13"/>
  <c r="I38" i="13"/>
  <c r="K38" i="13" s="1"/>
  <c r="M38" i="13" s="1"/>
  <c r="O38" i="13" s="1"/>
  <c r="N38" i="13" s="1"/>
  <c r="Q37" i="13"/>
  <c r="I37" i="13"/>
  <c r="K37" i="13" s="1"/>
  <c r="M37" i="13" s="1"/>
  <c r="O37" i="13" s="1"/>
  <c r="P37" i="13" s="1"/>
  <c r="Q36" i="13"/>
  <c r="I36" i="13"/>
  <c r="K36" i="13" s="1"/>
  <c r="M36" i="13" s="1"/>
  <c r="O36" i="13" s="1"/>
  <c r="Q35" i="13"/>
  <c r="I35" i="13"/>
  <c r="K35" i="13" s="1"/>
  <c r="M35" i="13" s="1"/>
  <c r="O35" i="13" s="1"/>
  <c r="Q34" i="13"/>
  <c r="I34" i="13"/>
  <c r="K34" i="13" s="1"/>
  <c r="M34" i="13" s="1"/>
  <c r="O34" i="13" s="1"/>
  <c r="Q33" i="13"/>
  <c r="I33" i="13"/>
  <c r="K33" i="13" s="1"/>
  <c r="M33" i="13" s="1"/>
  <c r="O33" i="13" s="1"/>
  <c r="Q32" i="13"/>
  <c r="I32" i="13"/>
  <c r="K32" i="13" s="1"/>
  <c r="M32" i="13" s="1"/>
  <c r="O32" i="13" s="1"/>
  <c r="Q31" i="13"/>
  <c r="I31" i="13"/>
  <c r="K31" i="13" s="1"/>
  <c r="M31" i="13" s="1"/>
  <c r="O31" i="13" s="1"/>
  <c r="Q30" i="13"/>
  <c r="I30" i="13"/>
  <c r="K30" i="13" s="1"/>
  <c r="M30" i="13" s="1"/>
  <c r="O30" i="13" s="1"/>
  <c r="Q29" i="13"/>
  <c r="I29" i="13"/>
  <c r="K29" i="13" s="1"/>
  <c r="M29" i="13" s="1"/>
  <c r="O29" i="13" s="1"/>
  <c r="Q28" i="13"/>
  <c r="I28" i="13"/>
  <c r="K28" i="13" s="1"/>
  <c r="M28" i="13" s="1"/>
  <c r="O28" i="13" s="1"/>
  <c r="Q27" i="13"/>
  <c r="I27" i="13"/>
  <c r="K27" i="13" s="1"/>
  <c r="M27" i="13" s="1"/>
  <c r="O27" i="13" s="1"/>
  <c r="Q26" i="13"/>
  <c r="I26" i="13"/>
  <c r="K26" i="13" s="1"/>
  <c r="M26" i="13" s="1"/>
  <c r="O26" i="13" s="1"/>
  <c r="Q25" i="13"/>
  <c r="I25" i="13"/>
  <c r="K25" i="13" s="1"/>
  <c r="M25" i="13" s="1"/>
  <c r="O25" i="13" s="1"/>
  <c r="Q24" i="13"/>
  <c r="I24" i="13"/>
  <c r="K24" i="13" s="1"/>
  <c r="M24" i="13" s="1"/>
  <c r="O24" i="13" s="1"/>
  <c r="Q23" i="13"/>
  <c r="I23" i="13"/>
  <c r="K23" i="13" s="1"/>
  <c r="M23" i="13" s="1"/>
  <c r="O23" i="13" s="1"/>
  <c r="Q22" i="13"/>
  <c r="I22" i="13"/>
  <c r="K22" i="13" s="1"/>
  <c r="M22" i="13" s="1"/>
  <c r="O22" i="13" s="1"/>
  <c r="N22" i="13" s="1"/>
  <c r="Q21" i="13"/>
  <c r="I21" i="13"/>
  <c r="K21" i="13" s="1"/>
  <c r="M21" i="13" s="1"/>
  <c r="O21" i="13" s="1"/>
  <c r="P21" i="13" s="1"/>
  <c r="Q20" i="13"/>
  <c r="I20" i="13"/>
  <c r="K20" i="13" s="1"/>
  <c r="M20" i="13" s="1"/>
  <c r="O20" i="13" s="1"/>
  <c r="Q19" i="13"/>
  <c r="I19" i="13"/>
  <c r="K19" i="13" s="1"/>
  <c r="M19" i="13" s="1"/>
  <c r="O19" i="13" s="1"/>
  <c r="Q18" i="13"/>
  <c r="I18" i="13"/>
  <c r="K18" i="13" s="1"/>
  <c r="M18" i="13" s="1"/>
  <c r="O18" i="13" s="1"/>
  <c r="Q17" i="13"/>
  <c r="I17" i="13"/>
  <c r="K17" i="13" s="1"/>
  <c r="M17" i="13" s="1"/>
  <c r="O17" i="13" s="1"/>
  <c r="Q16" i="13"/>
  <c r="I16" i="13"/>
  <c r="K16" i="13" s="1"/>
  <c r="M16" i="13" s="1"/>
  <c r="O16" i="13" s="1"/>
  <c r="Q15" i="13"/>
  <c r="I15" i="13"/>
  <c r="K15" i="13" s="1"/>
  <c r="M15" i="13" s="1"/>
  <c r="O15" i="13" s="1"/>
  <c r="Q14" i="13"/>
  <c r="I14" i="13"/>
  <c r="K14" i="13" s="1"/>
  <c r="M14" i="13" s="1"/>
  <c r="O14" i="13" s="1"/>
  <c r="Q13" i="13"/>
  <c r="I13" i="13"/>
  <c r="K13" i="13" s="1"/>
  <c r="M13" i="13" s="1"/>
  <c r="O13" i="13" s="1"/>
  <c r="Q12" i="13"/>
  <c r="I12" i="13"/>
  <c r="Q11" i="13"/>
  <c r="I11" i="13"/>
  <c r="K11" i="13" s="1"/>
  <c r="M11" i="13" s="1"/>
  <c r="O11" i="13" s="1"/>
  <c r="Q10" i="13"/>
  <c r="I10" i="13"/>
  <c r="K10" i="13" s="1"/>
  <c r="M10" i="13" s="1"/>
  <c r="O10" i="13" s="1"/>
  <c r="Q9" i="13"/>
  <c r="I9" i="13"/>
  <c r="K9" i="13" s="1"/>
  <c r="M9" i="13" s="1"/>
  <c r="O9" i="13" s="1"/>
  <c r="Q8" i="13"/>
  <c r="I8" i="13"/>
  <c r="K8" i="13" s="1"/>
  <c r="M8" i="13" s="1"/>
  <c r="O8" i="13" s="1"/>
  <c r="Q7" i="13"/>
  <c r="I7" i="13"/>
  <c r="K7" i="13" s="1"/>
  <c r="M7" i="13" s="1"/>
  <c r="O7" i="13" s="1"/>
  <c r="Q6" i="13"/>
  <c r="K6" i="13"/>
  <c r="M6" i="13" s="1"/>
  <c r="O6" i="13" s="1"/>
  <c r="H7" i="5" l="1"/>
  <c r="I7" i="5" s="1"/>
  <c r="M7" i="5" s="1"/>
  <c r="L7" i="5" s="1"/>
  <c r="I17" i="5"/>
  <c r="M17" i="5" s="1"/>
  <c r="N17" i="5" s="1"/>
  <c r="H23" i="11"/>
  <c r="I9" i="5"/>
  <c r="M9" i="5" s="1"/>
  <c r="N9" i="5" s="1"/>
  <c r="K8" i="11"/>
  <c r="M8" i="11" s="1"/>
  <c r="N8" i="11" s="1"/>
  <c r="I8" i="11"/>
  <c r="K11" i="11"/>
  <c r="M11" i="11" s="1"/>
  <c r="I11" i="11"/>
  <c r="K13" i="11"/>
  <c r="I13" i="11"/>
  <c r="K16" i="11"/>
  <c r="M16" i="11" s="1"/>
  <c r="I16" i="11"/>
  <c r="K19" i="11"/>
  <c r="I19" i="11"/>
  <c r="K21" i="11"/>
  <c r="I21" i="11"/>
  <c r="K10" i="11"/>
  <c r="M10" i="11" s="1"/>
  <c r="N10" i="11" s="1"/>
  <c r="I10" i="11"/>
  <c r="K18" i="11"/>
  <c r="I18" i="11"/>
  <c r="K7" i="11"/>
  <c r="M7" i="11" s="1"/>
  <c r="N7" i="11" s="1"/>
  <c r="I7" i="11"/>
  <c r="K9" i="11"/>
  <c r="M9" i="11" s="1"/>
  <c r="N9" i="11" s="1"/>
  <c r="I9" i="11"/>
  <c r="K12" i="11"/>
  <c r="I12" i="11"/>
  <c r="K15" i="11"/>
  <c r="M15" i="11" s="1"/>
  <c r="N15" i="11" s="1"/>
  <c r="I15" i="11"/>
  <c r="K17" i="11"/>
  <c r="M17" i="11" s="1"/>
  <c r="N17" i="11" s="1"/>
  <c r="I17" i="11"/>
  <c r="K20" i="11"/>
  <c r="I20" i="11"/>
  <c r="K14" i="11"/>
  <c r="N14" i="11" s="1"/>
  <c r="I14" i="11"/>
  <c r="K22" i="11"/>
  <c r="I22" i="11"/>
  <c r="F23" i="11"/>
  <c r="L4" i="14" s="1"/>
  <c r="P48" i="13"/>
  <c r="P210" i="13"/>
  <c r="P226" i="13"/>
  <c r="P250" i="13"/>
  <c r="P419" i="13"/>
  <c r="R419" i="13" s="1"/>
  <c r="P435" i="13"/>
  <c r="R435" i="13" s="1"/>
  <c r="S435" i="13" s="1"/>
  <c r="J6" i="11"/>
  <c r="K6" i="11" s="1"/>
  <c r="L32" i="5"/>
  <c r="P135" i="13"/>
  <c r="P143" i="13"/>
  <c r="P151" i="13"/>
  <c r="P183" i="13"/>
  <c r="R183" i="13" s="1"/>
  <c r="S183" i="13" s="1"/>
  <c r="P265" i="13"/>
  <c r="P273" i="13"/>
  <c r="P289" i="13"/>
  <c r="R301" i="13"/>
  <c r="R313" i="13"/>
  <c r="S313" i="13" s="1"/>
  <c r="R369" i="13"/>
  <c r="S369" i="13" s="1"/>
  <c r="R325" i="13"/>
  <c r="R21" i="13"/>
  <c r="S21" i="13" s="1"/>
  <c r="R48" i="13"/>
  <c r="S48" i="13" s="1"/>
  <c r="R37" i="13"/>
  <c r="S37" i="13" s="1"/>
  <c r="R265" i="13"/>
  <c r="R289" i="13"/>
  <c r="S289" i="13" s="1"/>
  <c r="N23" i="5"/>
  <c r="Q23" i="5" s="1"/>
  <c r="R23" i="5" s="1"/>
  <c r="L23" i="5"/>
  <c r="O23" i="5" s="1"/>
  <c r="N21" i="5"/>
  <c r="Q21" i="5" s="1"/>
  <c r="R21" i="5" s="1"/>
  <c r="L21" i="5"/>
  <c r="O21" i="5" s="1"/>
  <c r="K36" i="5"/>
  <c r="B22" i="14" s="1"/>
  <c r="C36" i="5"/>
  <c r="C37" i="5" s="1"/>
  <c r="P347" i="13"/>
  <c r="R347" i="13" s="1"/>
  <c r="S347" i="13" s="1"/>
  <c r="M12" i="11"/>
  <c r="N12" i="11" s="1"/>
  <c r="M20" i="11"/>
  <c r="N20" i="11" s="1"/>
  <c r="M13" i="11"/>
  <c r="N13" i="11" s="1"/>
  <c r="M21" i="11"/>
  <c r="N21" i="11" s="1"/>
  <c r="M14" i="11"/>
  <c r="M18" i="11"/>
  <c r="N18" i="11" s="1"/>
  <c r="M22" i="11"/>
  <c r="N22" i="11" s="1"/>
  <c r="M19" i="11"/>
  <c r="N19" i="11" s="1"/>
  <c r="P25" i="13"/>
  <c r="R25" i="13" s="1"/>
  <c r="P52" i="13"/>
  <c r="R52" i="13" s="1"/>
  <c r="S52" i="13" s="1"/>
  <c r="P56" i="13"/>
  <c r="R56" i="13" s="1"/>
  <c r="S56" i="13" s="1"/>
  <c r="P60" i="13"/>
  <c r="R60" i="13" s="1"/>
  <c r="N135" i="13"/>
  <c r="P163" i="13"/>
  <c r="R163" i="13" s="1"/>
  <c r="S163" i="13" s="1"/>
  <c r="P165" i="13"/>
  <c r="R165" i="13" s="1"/>
  <c r="S165" i="13" s="1"/>
  <c r="P171" i="13"/>
  <c r="R171" i="13" s="1"/>
  <c r="S171" i="13" s="1"/>
  <c r="P242" i="13"/>
  <c r="R242" i="13" s="1"/>
  <c r="S242" i="13" s="1"/>
  <c r="P305" i="13"/>
  <c r="R305" i="13" s="1"/>
  <c r="P317" i="13"/>
  <c r="R317" i="13" s="1"/>
  <c r="P329" i="13"/>
  <c r="R329" i="13" s="1"/>
  <c r="P341" i="13"/>
  <c r="R341" i="13" s="1"/>
  <c r="S341" i="13" s="1"/>
  <c r="P361" i="13"/>
  <c r="R361" i="13" s="1"/>
  <c r="S361" i="13" s="1"/>
  <c r="P373" i="13"/>
  <c r="R373" i="13" s="1"/>
  <c r="P407" i="13"/>
  <c r="R407" i="13" s="1"/>
  <c r="S407" i="13" s="1"/>
  <c r="P423" i="13"/>
  <c r="R423" i="13" s="1"/>
  <c r="P451" i="13"/>
  <c r="R451" i="13" s="1"/>
  <c r="P20" i="13"/>
  <c r="R20" i="13" s="1"/>
  <c r="S20" i="13" s="1"/>
  <c r="P29" i="13"/>
  <c r="R29" i="13" s="1"/>
  <c r="S29" i="13" s="1"/>
  <c r="P36" i="13"/>
  <c r="R36" i="13" s="1"/>
  <c r="S36" i="13" s="1"/>
  <c r="P41" i="13"/>
  <c r="R41" i="13" s="1"/>
  <c r="P64" i="13"/>
  <c r="R64" i="13" s="1"/>
  <c r="P68" i="13"/>
  <c r="R68" i="13" s="1"/>
  <c r="P72" i="13"/>
  <c r="R72" i="13" s="1"/>
  <c r="P74" i="13"/>
  <c r="P147" i="13"/>
  <c r="R147" i="13" s="1"/>
  <c r="S147" i="13" s="1"/>
  <c r="P155" i="13"/>
  <c r="R155" i="13" s="1"/>
  <c r="S155" i="13" s="1"/>
  <c r="P157" i="13"/>
  <c r="R157" i="13" s="1"/>
  <c r="S157" i="13" s="1"/>
  <c r="P167" i="13"/>
  <c r="P175" i="13"/>
  <c r="R175" i="13" s="1"/>
  <c r="P187" i="13"/>
  <c r="R187" i="13" s="1"/>
  <c r="P293" i="13"/>
  <c r="R293" i="13" s="1"/>
  <c r="P321" i="13"/>
  <c r="R321" i="13" s="1"/>
  <c r="P333" i="13"/>
  <c r="R333" i="13" s="1"/>
  <c r="P377" i="13"/>
  <c r="R377" i="13" s="1"/>
  <c r="P395" i="13"/>
  <c r="R395" i="13" s="1"/>
  <c r="S395" i="13" s="1"/>
  <c r="P415" i="13"/>
  <c r="P438" i="13"/>
  <c r="R438" i="13" s="1"/>
  <c r="S438" i="13" s="1"/>
  <c r="N72" i="13"/>
  <c r="P139" i="13"/>
  <c r="R139" i="13" s="1"/>
  <c r="P141" i="13"/>
  <c r="R141" i="13" s="1"/>
  <c r="S141" i="13" s="1"/>
  <c r="N147" i="13"/>
  <c r="P149" i="13"/>
  <c r="R149" i="13" s="1"/>
  <c r="P159" i="13"/>
  <c r="R159" i="13" s="1"/>
  <c r="S159" i="13" s="1"/>
  <c r="P179" i="13"/>
  <c r="R179" i="13" s="1"/>
  <c r="P191" i="13"/>
  <c r="R191" i="13" s="1"/>
  <c r="P202" i="13"/>
  <c r="R202" i="13" s="1"/>
  <c r="S202" i="13" s="1"/>
  <c r="P218" i="13"/>
  <c r="R218" i="13" s="1"/>
  <c r="S218" i="13" s="1"/>
  <c r="P234" i="13"/>
  <c r="R234" i="13" s="1"/>
  <c r="S234" i="13" s="1"/>
  <c r="P239" i="13"/>
  <c r="R239" i="13" s="1"/>
  <c r="S239" i="13" s="1"/>
  <c r="P285" i="13"/>
  <c r="R285" i="13" s="1"/>
  <c r="S285" i="13" s="1"/>
  <c r="P297" i="13"/>
  <c r="R297" i="13" s="1"/>
  <c r="P309" i="13"/>
  <c r="R309" i="13" s="1"/>
  <c r="P337" i="13"/>
  <c r="R337" i="13" s="1"/>
  <c r="P365" i="13"/>
  <c r="R365" i="13" s="1"/>
  <c r="P381" i="13"/>
  <c r="R381" i="13" s="1"/>
  <c r="S381" i="13" s="1"/>
  <c r="P391" i="13"/>
  <c r="R391" i="13" s="1"/>
  <c r="S391" i="13" s="1"/>
  <c r="P401" i="13"/>
  <c r="R401" i="13" s="1"/>
  <c r="P430" i="13"/>
  <c r="R430" i="13" s="1"/>
  <c r="N438" i="13"/>
  <c r="Q11" i="5"/>
  <c r="R11" i="5" s="1"/>
  <c r="L13" i="5"/>
  <c r="O13" i="5" s="1"/>
  <c r="N13" i="5"/>
  <c r="L15" i="5"/>
  <c r="N15" i="5"/>
  <c r="N18" i="5"/>
  <c r="L18" i="5"/>
  <c r="O18" i="5" s="1"/>
  <c r="L19" i="5"/>
  <c r="O19" i="5" s="1"/>
  <c r="N19" i="5"/>
  <c r="L22" i="5"/>
  <c r="O22" i="5" s="1"/>
  <c r="N22" i="5"/>
  <c r="Q30" i="5"/>
  <c r="R30" i="5" s="1"/>
  <c r="Q31" i="5"/>
  <c r="R31" i="5" s="1"/>
  <c r="L8" i="5"/>
  <c r="N8" i="5"/>
  <c r="N10" i="5"/>
  <c r="L10" i="5"/>
  <c r="O10" i="5" s="1"/>
  <c r="Q32" i="5"/>
  <c r="R32" i="5" s="1"/>
  <c r="L33" i="5"/>
  <c r="N33" i="5"/>
  <c r="L12" i="5"/>
  <c r="O12" i="5" s="1"/>
  <c r="N12" i="5"/>
  <c r="L17" i="5"/>
  <c r="L20" i="5"/>
  <c r="O20" i="5" s="1"/>
  <c r="N20" i="5"/>
  <c r="Q26" i="5"/>
  <c r="R26" i="5" s="1"/>
  <c r="Q27" i="5"/>
  <c r="R27" i="5" s="1"/>
  <c r="N34" i="5"/>
  <c r="L34" i="5"/>
  <c r="Q14" i="5"/>
  <c r="R14" i="5" s="1"/>
  <c r="N16" i="5"/>
  <c r="L16" i="5"/>
  <c r="L25" i="5"/>
  <c r="O25" i="5" s="1"/>
  <c r="N25" i="5"/>
  <c r="Q28" i="5"/>
  <c r="R28" i="5" s="1"/>
  <c r="Q29" i="5"/>
  <c r="R29" i="5" s="1"/>
  <c r="L35" i="5"/>
  <c r="N35" i="5"/>
  <c r="M6" i="5"/>
  <c r="L11" i="5"/>
  <c r="O11" i="5" s="1"/>
  <c r="L14" i="5"/>
  <c r="O14" i="5" s="1"/>
  <c r="I24" i="5"/>
  <c r="M24" i="5" s="1"/>
  <c r="N50" i="13"/>
  <c r="P50" i="13"/>
  <c r="R50" i="13" s="1"/>
  <c r="S50" i="13" s="1"/>
  <c r="N62" i="13"/>
  <c r="P62" i="13"/>
  <c r="N66" i="13"/>
  <c r="P66" i="13"/>
  <c r="R66" i="13" s="1"/>
  <c r="S66" i="13" s="1"/>
  <c r="N70" i="13"/>
  <c r="P70" i="13"/>
  <c r="R70" i="13" s="1"/>
  <c r="S70" i="13" s="1"/>
  <c r="N46" i="13"/>
  <c r="P46" i="13"/>
  <c r="R46" i="13" s="1"/>
  <c r="S46" i="13" s="1"/>
  <c r="P33" i="13"/>
  <c r="R33" i="13" s="1"/>
  <c r="N33" i="13"/>
  <c r="P32" i="13"/>
  <c r="R32" i="13" s="1"/>
  <c r="S32" i="13" s="1"/>
  <c r="N32" i="13"/>
  <c r="N54" i="13"/>
  <c r="P54" i="13"/>
  <c r="R54" i="13" s="1"/>
  <c r="S54" i="13" s="1"/>
  <c r="P58" i="13"/>
  <c r="R58" i="13" s="1"/>
  <c r="S58" i="13" s="1"/>
  <c r="N64" i="13"/>
  <c r="N145" i="13"/>
  <c r="P145" i="13"/>
  <c r="N151" i="13"/>
  <c r="N163" i="13"/>
  <c r="N247" i="13"/>
  <c r="P247" i="13"/>
  <c r="R247" i="13" s="1"/>
  <c r="S247" i="13" s="1"/>
  <c r="P351" i="13"/>
  <c r="R351" i="13" s="1"/>
  <c r="S351" i="13" s="1"/>
  <c r="N351" i="13"/>
  <c r="N385" i="13"/>
  <c r="P385" i="13"/>
  <c r="N393" i="13"/>
  <c r="P393" i="13"/>
  <c r="R393" i="13" s="1"/>
  <c r="S393" i="13" s="1"/>
  <c r="N399" i="13"/>
  <c r="P399" i="13"/>
  <c r="R399" i="13" s="1"/>
  <c r="S399" i="13" s="1"/>
  <c r="P431" i="13"/>
  <c r="R431" i="13" s="1"/>
  <c r="N431" i="13"/>
  <c r="N48" i="13"/>
  <c r="N60" i="13"/>
  <c r="N139" i="13"/>
  <c r="N153" i="13"/>
  <c r="P153" i="13"/>
  <c r="R153" i="13" s="1"/>
  <c r="S153" i="13" s="1"/>
  <c r="N159" i="13"/>
  <c r="N171" i="13"/>
  <c r="P195" i="13"/>
  <c r="R195" i="13" s="1"/>
  <c r="N195" i="13"/>
  <c r="P207" i="13"/>
  <c r="N223" i="13"/>
  <c r="P223" i="13"/>
  <c r="R223" i="13" s="1"/>
  <c r="S223" i="13" s="1"/>
  <c r="N273" i="13"/>
  <c r="P387" i="13"/>
  <c r="R387" i="13" s="1"/>
  <c r="N387" i="13"/>
  <c r="N401" i="13"/>
  <c r="P422" i="13"/>
  <c r="R422" i="13" s="1"/>
  <c r="S422" i="13" s="1"/>
  <c r="N422" i="13"/>
  <c r="N423" i="13"/>
  <c r="P446" i="13"/>
  <c r="N446" i="13"/>
  <c r="N161" i="13"/>
  <c r="P161" i="13"/>
  <c r="R161" i="13" s="1"/>
  <c r="S161" i="13" s="1"/>
  <c r="P198" i="13"/>
  <c r="R198" i="13" s="1"/>
  <c r="N198" i="13"/>
  <c r="N255" i="13"/>
  <c r="P255" i="13"/>
  <c r="R255" i="13" s="1"/>
  <c r="S255" i="13" s="1"/>
  <c r="P355" i="13"/>
  <c r="R355" i="13" s="1"/>
  <c r="S355" i="13" s="1"/>
  <c r="N355" i="13"/>
  <c r="P397" i="13"/>
  <c r="R397" i="13" s="1"/>
  <c r="S397" i="13" s="1"/>
  <c r="N397" i="13"/>
  <c r="N412" i="13"/>
  <c r="P412" i="13"/>
  <c r="R412" i="13" s="1"/>
  <c r="S412" i="13" s="1"/>
  <c r="P439" i="13"/>
  <c r="R439" i="13" s="1"/>
  <c r="S439" i="13" s="1"/>
  <c r="N439" i="13"/>
  <c r="N52" i="13"/>
  <c r="N68" i="13"/>
  <c r="N137" i="13"/>
  <c r="P137" i="13"/>
  <c r="R137" i="13" s="1"/>
  <c r="S137" i="13" s="1"/>
  <c r="N143" i="13"/>
  <c r="N155" i="13"/>
  <c r="N169" i="13"/>
  <c r="P169" i="13"/>
  <c r="R169" i="13" s="1"/>
  <c r="S169" i="13" s="1"/>
  <c r="N215" i="13"/>
  <c r="P215" i="13"/>
  <c r="R215" i="13" s="1"/>
  <c r="S215" i="13" s="1"/>
  <c r="P269" i="13"/>
  <c r="R269" i="13" s="1"/>
  <c r="N269" i="13"/>
  <c r="N349" i="13"/>
  <c r="P349" i="13"/>
  <c r="R349" i="13" s="1"/>
  <c r="S349" i="13" s="1"/>
  <c r="P357" i="13"/>
  <c r="R357" i="13" s="1"/>
  <c r="S357" i="13" s="1"/>
  <c r="P447" i="13"/>
  <c r="R447" i="13" s="1"/>
  <c r="N447" i="13"/>
  <c r="S430" i="13"/>
  <c r="P199" i="13"/>
  <c r="P231" i="13"/>
  <c r="R231" i="13" s="1"/>
  <c r="S231" i="13" s="1"/>
  <c r="P263" i="13"/>
  <c r="P267" i="13"/>
  <c r="R267" i="13" s="1"/>
  <c r="S267" i="13" s="1"/>
  <c r="N359" i="13"/>
  <c r="N391" i="13"/>
  <c r="N26" i="13"/>
  <c r="P26" i="13"/>
  <c r="P28" i="13"/>
  <c r="N28" i="13"/>
  <c r="N31" i="13"/>
  <c r="P31" i="13"/>
  <c r="N42" i="13"/>
  <c r="P42" i="13"/>
  <c r="N51" i="13"/>
  <c r="P51" i="13"/>
  <c r="N23" i="13"/>
  <c r="P23" i="13"/>
  <c r="N27" i="13"/>
  <c r="P27" i="13"/>
  <c r="N34" i="13"/>
  <c r="P34" i="13"/>
  <c r="P24" i="13"/>
  <c r="N24" i="13"/>
  <c r="N35" i="13"/>
  <c r="P35" i="13"/>
  <c r="N18" i="13"/>
  <c r="P18" i="13"/>
  <c r="P40" i="13"/>
  <c r="N40" i="13"/>
  <c r="P44" i="13"/>
  <c r="N44" i="13"/>
  <c r="N19" i="13"/>
  <c r="P19" i="13"/>
  <c r="N30" i="13"/>
  <c r="P30" i="13"/>
  <c r="N39" i="13"/>
  <c r="P39" i="13"/>
  <c r="N43" i="13"/>
  <c r="P43" i="13"/>
  <c r="N47" i="13"/>
  <c r="P47" i="13"/>
  <c r="P49" i="13"/>
  <c r="N49" i="13"/>
  <c r="P57" i="13"/>
  <c r="N57" i="13"/>
  <c r="P65" i="13"/>
  <c r="N65" i="13"/>
  <c r="P73" i="13"/>
  <c r="N73" i="13"/>
  <c r="P82" i="13"/>
  <c r="N82" i="13"/>
  <c r="P90" i="13"/>
  <c r="N90" i="13"/>
  <c r="P103" i="13"/>
  <c r="N103" i="13"/>
  <c r="P106" i="13"/>
  <c r="N106" i="13"/>
  <c r="P119" i="13"/>
  <c r="N119" i="13"/>
  <c r="P127" i="13"/>
  <c r="N127" i="13"/>
  <c r="P148" i="13"/>
  <c r="N148" i="13"/>
  <c r="N154" i="13"/>
  <c r="P154" i="13"/>
  <c r="N158" i="13"/>
  <c r="P158" i="13"/>
  <c r="P180" i="13"/>
  <c r="N180" i="13"/>
  <c r="P22" i="13"/>
  <c r="N76" i="13"/>
  <c r="P76" i="13"/>
  <c r="N79" i="13"/>
  <c r="P79" i="13"/>
  <c r="N87" i="13"/>
  <c r="P87" i="13"/>
  <c r="N95" i="13"/>
  <c r="P95" i="13"/>
  <c r="N100" i="13"/>
  <c r="P100" i="13"/>
  <c r="N113" i="13"/>
  <c r="P113" i="13"/>
  <c r="N116" i="13"/>
  <c r="P116" i="13"/>
  <c r="N129" i="13"/>
  <c r="P129" i="13"/>
  <c r="P136" i="13"/>
  <c r="N136" i="13"/>
  <c r="P152" i="13"/>
  <c r="N152" i="13"/>
  <c r="P168" i="13"/>
  <c r="N168" i="13"/>
  <c r="P78" i="13"/>
  <c r="N78" i="13"/>
  <c r="P81" i="13"/>
  <c r="N81" i="13"/>
  <c r="P86" i="13"/>
  <c r="N86" i="13"/>
  <c r="P89" i="13"/>
  <c r="N89" i="13"/>
  <c r="P94" i="13"/>
  <c r="N94" i="13"/>
  <c r="P97" i="13"/>
  <c r="N97" i="13"/>
  <c r="P99" i="13"/>
  <c r="N99" i="13"/>
  <c r="P102" i="13"/>
  <c r="N102" i="13"/>
  <c r="P107" i="13"/>
  <c r="N107" i="13"/>
  <c r="P110" i="13"/>
  <c r="N110" i="13"/>
  <c r="P115" i="13"/>
  <c r="N115" i="13"/>
  <c r="P118" i="13"/>
  <c r="N118" i="13"/>
  <c r="P123" i="13"/>
  <c r="N123" i="13"/>
  <c r="P126" i="13"/>
  <c r="N126" i="13"/>
  <c r="P131" i="13"/>
  <c r="N131" i="13"/>
  <c r="P134" i="13"/>
  <c r="N134" i="13"/>
  <c r="P140" i="13"/>
  <c r="N140" i="13"/>
  <c r="N146" i="13"/>
  <c r="P146" i="13"/>
  <c r="N150" i="13"/>
  <c r="P150" i="13"/>
  <c r="P156" i="13"/>
  <c r="N156" i="13"/>
  <c r="N162" i="13"/>
  <c r="P162" i="13"/>
  <c r="N166" i="13"/>
  <c r="P166" i="13"/>
  <c r="P172" i="13"/>
  <c r="N172" i="13"/>
  <c r="N178" i="13"/>
  <c r="P178" i="13"/>
  <c r="P188" i="13"/>
  <c r="N188" i="13"/>
  <c r="N194" i="13"/>
  <c r="P194" i="13"/>
  <c r="P45" i="13"/>
  <c r="N45" i="13"/>
  <c r="P53" i="13"/>
  <c r="N53" i="13"/>
  <c r="P61" i="13"/>
  <c r="N61" i="13"/>
  <c r="R62" i="13"/>
  <c r="S62" i="13" s="1"/>
  <c r="P69" i="13"/>
  <c r="N69" i="13"/>
  <c r="R74" i="13"/>
  <c r="S74" i="13" s="1"/>
  <c r="P77" i="13"/>
  <c r="N77" i="13"/>
  <c r="P85" i="13"/>
  <c r="N85" i="13"/>
  <c r="P93" i="13"/>
  <c r="N93" i="13"/>
  <c r="P98" i="13"/>
  <c r="N98" i="13"/>
  <c r="P111" i="13"/>
  <c r="N111" i="13"/>
  <c r="P114" i="13"/>
  <c r="N114" i="13"/>
  <c r="P122" i="13"/>
  <c r="N122" i="13"/>
  <c r="P130" i="13"/>
  <c r="N130" i="13"/>
  <c r="N138" i="13"/>
  <c r="P138" i="13"/>
  <c r="N142" i="13"/>
  <c r="P142" i="13"/>
  <c r="P164" i="13"/>
  <c r="N164" i="13"/>
  <c r="N170" i="13"/>
  <c r="P170" i="13"/>
  <c r="N186" i="13"/>
  <c r="P186" i="13"/>
  <c r="N29" i="13"/>
  <c r="P38" i="13"/>
  <c r="N84" i="13"/>
  <c r="P84" i="13"/>
  <c r="N92" i="13"/>
  <c r="P92" i="13"/>
  <c r="N105" i="13"/>
  <c r="P105" i="13"/>
  <c r="N108" i="13"/>
  <c r="P108" i="13"/>
  <c r="N121" i="13"/>
  <c r="P121" i="13"/>
  <c r="N124" i="13"/>
  <c r="P124" i="13"/>
  <c r="N132" i="13"/>
  <c r="P132" i="13"/>
  <c r="P176" i="13"/>
  <c r="N176" i="13"/>
  <c r="N182" i="13"/>
  <c r="P182" i="13"/>
  <c r="P192" i="13"/>
  <c r="N192" i="13"/>
  <c r="N25" i="13"/>
  <c r="N41" i="13"/>
  <c r="N20" i="13"/>
  <c r="N21" i="13"/>
  <c r="N36" i="13"/>
  <c r="N37" i="13"/>
  <c r="N55" i="13"/>
  <c r="P55" i="13"/>
  <c r="N59" i="13"/>
  <c r="P59" i="13"/>
  <c r="N63" i="13"/>
  <c r="P63" i="13"/>
  <c r="N67" i="13"/>
  <c r="P67" i="13"/>
  <c r="N71" i="13"/>
  <c r="P71" i="13"/>
  <c r="N75" i="13"/>
  <c r="P75" i="13"/>
  <c r="N80" i="13"/>
  <c r="P80" i="13"/>
  <c r="N83" i="13"/>
  <c r="P83" i="13"/>
  <c r="N88" i="13"/>
  <c r="P88" i="13"/>
  <c r="N91" i="13"/>
  <c r="P91" i="13"/>
  <c r="N96" i="13"/>
  <c r="P96" i="13"/>
  <c r="N101" i="13"/>
  <c r="P101" i="13"/>
  <c r="N104" i="13"/>
  <c r="P104" i="13"/>
  <c r="N109" i="13"/>
  <c r="P109" i="13"/>
  <c r="N112" i="13"/>
  <c r="P112" i="13"/>
  <c r="N117" i="13"/>
  <c r="P117" i="13"/>
  <c r="N120" i="13"/>
  <c r="P120" i="13"/>
  <c r="N125" i="13"/>
  <c r="P125" i="13"/>
  <c r="N128" i="13"/>
  <c r="P128" i="13"/>
  <c r="N133" i="13"/>
  <c r="P133" i="13"/>
  <c r="P144" i="13"/>
  <c r="N144" i="13"/>
  <c r="P160" i="13"/>
  <c r="N160" i="13"/>
  <c r="P184" i="13"/>
  <c r="N184" i="13"/>
  <c r="N190" i="13"/>
  <c r="P190" i="13"/>
  <c r="R207" i="13"/>
  <c r="S207" i="13" s="1"/>
  <c r="R210" i="13"/>
  <c r="S210" i="13" s="1"/>
  <c r="N219" i="13"/>
  <c r="P219" i="13"/>
  <c r="R226" i="13"/>
  <c r="S226" i="13" s="1"/>
  <c r="N235" i="13"/>
  <c r="P235" i="13"/>
  <c r="N243" i="13"/>
  <c r="P243" i="13"/>
  <c r="R250" i="13"/>
  <c r="S250" i="13" s="1"/>
  <c r="N261" i="13"/>
  <c r="P261" i="13"/>
  <c r="N271" i="13"/>
  <c r="P271" i="13"/>
  <c r="N276" i="13"/>
  <c r="P276" i="13"/>
  <c r="N284" i="13"/>
  <c r="P284" i="13"/>
  <c r="P386" i="13"/>
  <c r="N386" i="13"/>
  <c r="N388" i="13"/>
  <c r="P388" i="13"/>
  <c r="N432" i="13"/>
  <c r="P432" i="13"/>
  <c r="N437" i="13"/>
  <c r="P437" i="13"/>
  <c r="N449" i="13"/>
  <c r="P449" i="13"/>
  <c r="N141" i="13"/>
  <c r="N149" i="13"/>
  <c r="N157" i="13"/>
  <c r="N165" i="13"/>
  <c r="P201" i="13"/>
  <c r="N201" i="13"/>
  <c r="N202" i="13"/>
  <c r="P205" i="13"/>
  <c r="N205" i="13"/>
  <c r="P209" i="13"/>
  <c r="N209" i="13"/>
  <c r="N210" i="13"/>
  <c r="P213" i="13"/>
  <c r="N213" i="13"/>
  <c r="P217" i="13"/>
  <c r="N217" i="13"/>
  <c r="N218" i="13"/>
  <c r="P221" i="13"/>
  <c r="N221" i="13"/>
  <c r="P225" i="13"/>
  <c r="N225" i="13"/>
  <c r="N226" i="13"/>
  <c r="P229" i="13"/>
  <c r="N229" i="13"/>
  <c r="P233" i="13"/>
  <c r="N233" i="13"/>
  <c r="N234" i="13"/>
  <c r="P237" i="13"/>
  <c r="N237" i="13"/>
  <c r="P241" i="13"/>
  <c r="N241" i="13"/>
  <c r="N242" i="13"/>
  <c r="P245" i="13"/>
  <c r="N245" i="13"/>
  <c r="P249" i="13"/>
  <c r="N249" i="13"/>
  <c r="N250" i="13"/>
  <c r="P253" i="13"/>
  <c r="N253" i="13"/>
  <c r="N256" i="13"/>
  <c r="P256" i="13"/>
  <c r="P260" i="13"/>
  <c r="N260" i="13"/>
  <c r="P264" i="13"/>
  <c r="N264" i="13"/>
  <c r="P278" i="13"/>
  <c r="N278" i="13"/>
  <c r="P286" i="13"/>
  <c r="N286" i="13"/>
  <c r="N292" i="13"/>
  <c r="P292" i="13"/>
  <c r="P302" i="13"/>
  <c r="N302" i="13"/>
  <c r="N308" i="13"/>
  <c r="P308" i="13"/>
  <c r="P318" i="13"/>
  <c r="N318" i="13"/>
  <c r="N324" i="13"/>
  <c r="P324" i="13"/>
  <c r="P334" i="13"/>
  <c r="N334" i="13"/>
  <c r="N342" i="13"/>
  <c r="P342" i="13"/>
  <c r="R199" i="13"/>
  <c r="S199" i="13" s="1"/>
  <c r="N203" i="13"/>
  <c r="P203" i="13"/>
  <c r="N211" i="13"/>
  <c r="P211" i="13"/>
  <c r="N227" i="13"/>
  <c r="P227" i="13"/>
  <c r="N251" i="13"/>
  <c r="P251" i="13"/>
  <c r="N258" i="13"/>
  <c r="P258" i="13"/>
  <c r="R145" i="13"/>
  <c r="S145" i="13" s="1"/>
  <c r="N174" i="13"/>
  <c r="P174" i="13"/>
  <c r="P197" i="13"/>
  <c r="N197" i="13"/>
  <c r="N204" i="13"/>
  <c r="P204" i="13"/>
  <c r="N212" i="13"/>
  <c r="P212" i="13"/>
  <c r="N220" i="13"/>
  <c r="P220" i="13"/>
  <c r="N228" i="13"/>
  <c r="P228" i="13"/>
  <c r="N236" i="13"/>
  <c r="P236" i="13"/>
  <c r="N244" i="13"/>
  <c r="P244" i="13"/>
  <c r="N252" i="13"/>
  <c r="P252" i="13"/>
  <c r="N280" i="13"/>
  <c r="P280" i="13"/>
  <c r="R135" i="13"/>
  <c r="S135" i="13" s="1"/>
  <c r="R143" i="13"/>
  <c r="S143" i="13" s="1"/>
  <c r="R151" i="13"/>
  <c r="S151" i="13" s="1"/>
  <c r="R167" i="13"/>
  <c r="S167" i="13" s="1"/>
  <c r="P173" i="13"/>
  <c r="N175" i="13"/>
  <c r="P177" i="13"/>
  <c r="N179" i="13"/>
  <c r="P181" i="13"/>
  <c r="N183" i="13"/>
  <c r="P185" i="13"/>
  <c r="N187" i="13"/>
  <c r="P189" i="13"/>
  <c r="N191" i="13"/>
  <c r="P193" i="13"/>
  <c r="P196" i="13"/>
  <c r="N196" i="13"/>
  <c r="N200" i="13"/>
  <c r="P200" i="13"/>
  <c r="P206" i="13"/>
  <c r="N206" i="13"/>
  <c r="N208" i="13"/>
  <c r="P208" i="13"/>
  <c r="P214" i="13"/>
  <c r="N214" i="13"/>
  <c r="N216" i="13"/>
  <c r="P216" i="13"/>
  <c r="P222" i="13"/>
  <c r="N222" i="13"/>
  <c r="N224" i="13"/>
  <c r="P224" i="13"/>
  <c r="P230" i="13"/>
  <c r="N230" i="13"/>
  <c r="N232" i="13"/>
  <c r="P232" i="13"/>
  <c r="P238" i="13"/>
  <c r="N238" i="13"/>
  <c r="N240" i="13"/>
  <c r="P240" i="13"/>
  <c r="P246" i="13"/>
  <c r="N246" i="13"/>
  <c r="N248" i="13"/>
  <c r="P248" i="13"/>
  <c r="P254" i="13"/>
  <c r="N254" i="13"/>
  <c r="P257" i="13"/>
  <c r="N257" i="13"/>
  <c r="N259" i="13"/>
  <c r="P259" i="13"/>
  <c r="N262" i="13"/>
  <c r="P262" i="13"/>
  <c r="N272" i="13"/>
  <c r="P272" i="13"/>
  <c r="P282" i="13"/>
  <c r="N282" i="13"/>
  <c r="P266" i="13"/>
  <c r="N266" i="13"/>
  <c r="P270" i="13"/>
  <c r="N270" i="13"/>
  <c r="P277" i="13"/>
  <c r="N277" i="13"/>
  <c r="P281" i="13"/>
  <c r="N281" i="13"/>
  <c r="N288" i="13"/>
  <c r="P288" i="13"/>
  <c r="P298" i="13"/>
  <c r="N298" i="13"/>
  <c r="N304" i="13"/>
  <c r="P304" i="13"/>
  <c r="P314" i="13"/>
  <c r="N314" i="13"/>
  <c r="N320" i="13"/>
  <c r="P320" i="13"/>
  <c r="P330" i="13"/>
  <c r="N330" i="13"/>
  <c r="N336" i="13"/>
  <c r="P336" i="13"/>
  <c r="P339" i="13"/>
  <c r="N339" i="13"/>
  <c r="P346" i="13"/>
  <c r="N346" i="13"/>
  <c r="N352" i="13"/>
  <c r="P352" i="13"/>
  <c r="P358" i="13"/>
  <c r="N358" i="13"/>
  <c r="P378" i="13"/>
  <c r="N378" i="13"/>
  <c r="P294" i="13"/>
  <c r="N294" i="13"/>
  <c r="N300" i="13"/>
  <c r="P300" i="13"/>
  <c r="P310" i="13"/>
  <c r="N310" i="13"/>
  <c r="N316" i="13"/>
  <c r="P316" i="13"/>
  <c r="P326" i="13"/>
  <c r="N326" i="13"/>
  <c r="N332" i="13"/>
  <c r="P332" i="13"/>
  <c r="P345" i="13"/>
  <c r="N345" i="13"/>
  <c r="N356" i="13"/>
  <c r="P356" i="13"/>
  <c r="P374" i="13"/>
  <c r="N374" i="13"/>
  <c r="N268" i="13"/>
  <c r="P268" i="13"/>
  <c r="R273" i="13"/>
  <c r="S273" i="13" s="1"/>
  <c r="N275" i="13"/>
  <c r="P275" i="13"/>
  <c r="N279" i="13"/>
  <c r="P279" i="13"/>
  <c r="N283" i="13"/>
  <c r="P283" i="13"/>
  <c r="P290" i="13"/>
  <c r="N290" i="13"/>
  <c r="N296" i="13"/>
  <c r="P296" i="13"/>
  <c r="P306" i="13"/>
  <c r="N306" i="13"/>
  <c r="N312" i="13"/>
  <c r="P312" i="13"/>
  <c r="P322" i="13"/>
  <c r="N322" i="13"/>
  <c r="N328" i="13"/>
  <c r="P328" i="13"/>
  <c r="P338" i="13"/>
  <c r="N338" i="13"/>
  <c r="P340" i="13"/>
  <c r="N340" i="13"/>
  <c r="P343" i="13"/>
  <c r="N343" i="13"/>
  <c r="P370" i="13"/>
  <c r="N370" i="13"/>
  <c r="S301" i="13"/>
  <c r="S325" i="13"/>
  <c r="P353" i="13"/>
  <c r="N353" i="13"/>
  <c r="P354" i="13"/>
  <c r="N354" i="13"/>
  <c r="P362" i="13"/>
  <c r="N362" i="13"/>
  <c r="P366" i="13"/>
  <c r="N366" i="13"/>
  <c r="N372" i="13"/>
  <c r="P372" i="13"/>
  <c r="N376" i="13"/>
  <c r="P376" i="13"/>
  <c r="N380" i="13"/>
  <c r="P380" i="13"/>
  <c r="P384" i="13"/>
  <c r="N384" i="13"/>
  <c r="S265" i="13"/>
  <c r="P274" i="13"/>
  <c r="N274" i="13"/>
  <c r="N285" i="13"/>
  <c r="P287" i="13"/>
  <c r="N289" i="13"/>
  <c r="P291" i="13"/>
  <c r="N293" i="13"/>
  <c r="P295" i="13"/>
  <c r="N297" i="13"/>
  <c r="P299" i="13"/>
  <c r="N301" i="13"/>
  <c r="P303" i="13"/>
  <c r="N305" i="13"/>
  <c r="P307" i="13"/>
  <c r="N309" i="13"/>
  <c r="P311" i="13"/>
  <c r="N313" i="13"/>
  <c r="P315" i="13"/>
  <c r="N317" i="13"/>
  <c r="P319" i="13"/>
  <c r="N321" i="13"/>
  <c r="P323" i="13"/>
  <c r="N325" i="13"/>
  <c r="P327" i="13"/>
  <c r="N329" i="13"/>
  <c r="P331" i="13"/>
  <c r="N333" i="13"/>
  <c r="P335" i="13"/>
  <c r="N337" i="13"/>
  <c r="N341" i="13"/>
  <c r="N368" i="13"/>
  <c r="P368" i="13"/>
  <c r="N265" i="13"/>
  <c r="P344" i="13"/>
  <c r="N344" i="13"/>
  <c r="N348" i="13"/>
  <c r="P348" i="13"/>
  <c r="P350" i="13"/>
  <c r="N350" i="13"/>
  <c r="R359" i="13"/>
  <c r="S359" i="13" s="1"/>
  <c r="P383" i="13"/>
  <c r="N383" i="13"/>
  <c r="R385" i="13"/>
  <c r="S385" i="13" s="1"/>
  <c r="N392" i="13"/>
  <c r="P392" i="13"/>
  <c r="P394" i="13"/>
  <c r="N394" i="13"/>
  <c r="N400" i="13"/>
  <c r="P400" i="13"/>
  <c r="P402" i="13"/>
  <c r="N402" i="13"/>
  <c r="N405" i="13"/>
  <c r="P405" i="13"/>
  <c r="N413" i="13"/>
  <c r="P413" i="13"/>
  <c r="N425" i="13"/>
  <c r="P425" i="13"/>
  <c r="N445" i="13"/>
  <c r="P445" i="13"/>
  <c r="N360" i="13"/>
  <c r="P360" i="13"/>
  <c r="N364" i="13"/>
  <c r="P364" i="13"/>
  <c r="P382" i="13"/>
  <c r="N409" i="13"/>
  <c r="P409" i="13"/>
  <c r="N417" i="13"/>
  <c r="P417" i="13"/>
  <c r="N424" i="13"/>
  <c r="P424" i="13"/>
  <c r="P442" i="13"/>
  <c r="N442" i="13"/>
  <c r="N361" i="13"/>
  <c r="P363" i="13"/>
  <c r="N365" i="13"/>
  <c r="P367" i="13"/>
  <c r="N369" i="13"/>
  <c r="P371" i="13"/>
  <c r="N373" i="13"/>
  <c r="P375" i="13"/>
  <c r="N377" i="13"/>
  <c r="P379" i="13"/>
  <c r="N381" i="13"/>
  <c r="P389" i="13"/>
  <c r="N389" i="13"/>
  <c r="P390" i="13"/>
  <c r="N390" i="13"/>
  <c r="N396" i="13"/>
  <c r="P396" i="13"/>
  <c r="P398" i="13"/>
  <c r="N398" i="13"/>
  <c r="P411" i="13"/>
  <c r="N411" i="13"/>
  <c r="P434" i="13"/>
  <c r="N434" i="13"/>
  <c r="N436" i="13"/>
  <c r="P436" i="13"/>
  <c r="P443" i="13"/>
  <c r="N443" i="13"/>
  <c r="P404" i="13"/>
  <c r="N404" i="13"/>
  <c r="N408" i="13"/>
  <c r="P408" i="13"/>
  <c r="R415" i="13"/>
  <c r="S415" i="13" s="1"/>
  <c r="N416" i="13"/>
  <c r="P416" i="13"/>
  <c r="N421" i="13"/>
  <c r="P421" i="13"/>
  <c r="P426" i="13"/>
  <c r="N426" i="13"/>
  <c r="N433" i="13"/>
  <c r="P433" i="13"/>
  <c r="N441" i="13"/>
  <c r="P441" i="13"/>
  <c r="N448" i="13"/>
  <c r="P448" i="13"/>
  <c r="N453" i="13"/>
  <c r="P453" i="13"/>
  <c r="P403" i="13"/>
  <c r="N403" i="13"/>
  <c r="P406" i="13"/>
  <c r="N406" i="13"/>
  <c r="N407" i="13"/>
  <c r="P410" i="13"/>
  <c r="N410" i="13"/>
  <c r="P414" i="13"/>
  <c r="N414" i="13"/>
  <c r="N415" i="13"/>
  <c r="P418" i="13"/>
  <c r="N418" i="13"/>
  <c r="N420" i="13"/>
  <c r="P420" i="13"/>
  <c r="P427" i="13"/>
  <c r="N427" i="13"/>
  <c r="P429" i="13"/>
  <c r="P440" i="13"/>
  <c r="P450" i="13"/>
  <c r="N450" i="13"/>
  <c r="N452" i="13"/>
  <c r="P452" i="13"/>
  <c r="S419" i="13"/>
  <c r="N419" i="13"/>
  <c r="P428" i="13"/>
  <c r="S431" i="13"/>
  <c r="N435" i="13"/>
  <c r="P444" i="13"/>
  <c r="N451" i="13"/>
  <c r="N10" i="13"/>
  <c r="P10" i="13"/>
  <c r="N8" i="13"/>
  <c r="P8" i="13"/>
  <c r="P9" i="13"/>
  <c r="N9" i="13"/>
  <c r="N7" i="13"/>
  <c r="P7" i="13"/>
  <c r="N11" i="13"/>
  <c r="P11" i="13"/>
  <c r="N17" i="13"/>
  <c r="P17" i="13"/>
  <c r="N6" i="13"/>
  <c r="P6" i="13"/>
  <c r="N16" i="13"/>
  <c r="P16" i="13"/>
  <c r="P15" i="13"/>
  <c r="N15" i="13"/>
  <c r="P14" i="13"/>
  <c r="N14" i="13"/>
  <c r="N13" i="13"/>
  <c r="P13" i="13"/>
  <c r="I454" i="13"/>
  <c r="K12" i="13"/>
  <c r="N7" i="5" l="1"/>
  <c r="L9" i="5"/>
  <c r="O9" i="5" s="1"/>
  <c r="N11" i="11"/>
  <c r="N16" i="11"/>
  <c r="J23" i="11"/>
  <c r="I6" i="11"/>
  <c r="I23" i="11" s="1"/>
  <c r="D23" i="14" s="1"/>
  <c r="S41" i="13"/>
  <c r="S191" i="13"/>
  <c r="S337" i="13"/>
  <c r="S365" i="13"/>
  <c r="S33" i="13"/>
  <c r="S72" i="13"/>
  <c r="S423" i="13"/>
  <c r="S25" i="13"/>
  <c r="S317" i="13"/>
  <c r="S179" i="13"/>
  <c r="S175" i="13"/>
  <c r="S447" i="13"/>
  <c r="S373" i="13"/>
  <c r="S333" i="13"/>
  <c r="S309" i="13"/>
  <c r="S64" i="13"/>
  <c r="S149" i="13"/>
  <c r="L3" i="14"/>
  <c r="B23" i="14"/>
  <c r="B24" i="14" s="1"/>
  <c r="B30" i="14" s="1"/>
  <c r="S451" i="13"/>
  <c r="S297" i="13"/>
  <c r="S269" i="13"/>
  <c r="S293" i="13"/>
  <c r="S139" i="13"/>
  <c r="S387" i="13"/>
  <c r="S321" i="13"/>
  <c r="S305" i="13"/>
  <c r="S68" i="13"/>
  <c r="S377" i="13"/>
  <c r="S329" i="13"/>
  <c r="S198" i="13"/>
  <c r="R263" i="13"/>
  <c r="S263" i="13" s="1"/>
  <c r="K23" i="11"/>
  <c r="M6" i="11"/>
  <c r="M23" i="11" s="1"/>
  <c r="S187" i="13"/>
  <c r="S401" i="13"/>
  <c r="S195" i="13"/>
  <c r="S60" i="13"/>
  <c r="Q16" i="5"/>
  <c r="R16" i="5" s="1"/>
  <c r="Q18" i="5"/>
  <c r="R18" i="5" s="1"/>
  <c r="Q25" i="5"/>
  <c r="R25" i="5" s="1"/>
  <c r="Q20" i="5"/>
  <c r="R20" i="5" s="1"/>
  <c r="Q12" i="5"/>
  <c r="R12" i="5" s="1"/>
  <c r="Q33" i="5"/>
  <c r="R33" i="5" s="1"/>
  <c r="Q10" i="5"/>
  <c r="R10" i="5" s="1"/>
  <c r="Q19" i="5"/>
  <c r="R19" i="5" s="1"/>
  <c r="Q7" i="5"/>
  <c r="R7" i="5" s="1"/>
  <c r="M36" i="5"/>
  <c r="L6" i="5"/>
  <c r="N6" i="5"/>
  <c r="Q34" i="5"/>
  <c r="R34" i="5" s="1"/>
  <c r="Q8" i="5"/>
  <c r="R8" i="5" s="1"/>
  <c r="L24" i="5"/>
  <c r="O24" i="5" s="1"/>
  <c r="N24" i="5"/>
  <c r="Q35" i="5"/>
  <c r="R35" i="5" s="1"/>
  <c r="Q17" i="5"/>
  <c r="R17" i="5" s="1"/>
  <c r="Q9" i="5"/>
  <c r="R9" i="5" s="1"/>
  <c r="Q22" i="5"/>
  <c r="R22" i="5" s="1"/>
  <c r="Q15" i="5"/>
  <c r="R15" i="5" s="1"/>
  <c r="Q13" i="5"/>
  <c r="R13" i="5" s="1"/>
  <c r="I36" i="5"/>
  <c r="R446" i="13"/>
  <c r="S446" i="13" s="1"/>
  <c r="R452" i="13"/>
  <c r="S452" i="13" s="1"/>
  <c r="R398" i="13"/>
  <c r="S398" i="13" s="1"/>
  <c r="R379" i="13"/>
  <c r="S379" i="13" s="1"/>
  <c r="R363" i="13"/>
  <c r="S363" i="13" s="1"/>
  <c r="R417" i="13"/>
  <c r="S417" i="13" s="1"/>
  <c r="R382" i="13"/>
  <c r="S382" i="13" s="1"/>
  <c r="R413" i="13"/>
  <c r="S413" i="13" s="1"/>
  <c r="R348" i="13"/>
  <c r="S348" i="13" s="1"/>
  <c r="R335" i="13"/>
  <c r="S335" i="13" s="1"/>
  <c r="R319" i="13"/>
  <c r="S319" i="13" s="1"/>
  <c r="R303" i="13"/>
  <c r="S303" i="13" s="1"/>
  <c r="R287" i="13"/>
  <c r="S287" i="13" s="1"/>
  <c r="R378" i="13"/>
  <c r="S378" i="13" s="1"/>
  <c r="R339" i="13"/>
  <c r="S339" i="13" s="1"/>
  <c r="R314" i="13"/>
  <c r="S314" i="13" s="1"/>
  <c r="R94" i="13"/>
  <c r="S94" i="13" s="1"/>
  <c r="R86" i="13"/>
  <c r="S86" i="13" s="1"/>
  <c r="R78" i="13"/>
  <c r="S78" i="13" s="1"/>
  <c r="R129" i="13"/>
  <c r="S129" i="13" s="1"/>
  <c r="R113" i="13"/>
  <c r="S113" i="13" s="1"/>
  <c r="R95" i="13"/>
  <c r="S95" i="13" s="1"/>
  <c r="R79" i="13"/>
  <c r="S79" i="13" s="1"/>
  <c r="R180" i="13"/>
  <c r="S180" i="13" s="1"/>
  <c r="R127" i="13"/>
  <c r="S127" i="13" s="1"/>
  <c r="R106" i="13"/>
  <c r="S106" i="13" s="1"/>
  <c r="R90" i="13"/>
  <c r="S90" i="13" s="1"/>
  <c r="R73" i="13"/>
  <c r="S73" i="13" s="1"/>
  <c r="R65" i="13"/>
  <c r="S65" i="13" s="1"/>
  <c r="R57" i="13"/>
  <c r="S57" i="13" s="1"/>
  <c r="R49" i="13"/>
  <c r="S49" i="13" s="1"/>
  <c r="R43" i="13"/>
  <c r="S43" i="13" s="1"/>
  <c r="R40" i="13"/>
  <c r="S40" i="13" s="1"/>
  <c r="R42" i="13"/>
  <c r="S42" i="13" s="1"/>
  <c r="R428" i="13"/>
  <c r="S428" i="13" s="1"/>
  <c r="R453" i="13"/>
  <c r="S453" i="13" s="1"/>
  <c r="R416" i="13"/>
  <c r="S416" i="13" s="1"/>
  <c r="R396" i="13"/>
  <c r="S396" i="13" s="1"/>
  <c r="R402" i="13"/>
  <c r="S402" i="13" s="1"/>
  <c r="R376" i="13"/>
  <c r="S376" i="13" s="1"/>
  <c r="R338" i="13"/>
  <c r="S338" i="13" s="1"/>
  <c r="R306" i="13"/>
  <c r="S306" i="13" s="1"/>
  <c r="R336" i="13"/>
  <c r="S336" i="13" s="1"/>
  <c r="R304" i="13"/>
  <c r="S304" i="13" s="1"/>
  <c r="R281" i="13"/>
  <c r="S281" i="13" s="1"/>
  <c r="R266" i="13"/>
  <c r="S266" i="13" s="1"/>
  <c r="R259" i="13"/>
  <c r="S259" i="13" s="1"/>
  <c r="R181" i="13"/>
  <c r="S181" i="13" s="1"/>
  <c r="R244" i="13"/>
  <c r="S244" i="13" s="1"/>
  <c r="R212" i="13"/>
  <c r="S212" i="13" s="1"/>
  <c r="R174" i="13"/>
  <c r="S174" i="13" s="1"/>
  <c r="R237" i="13"/>
  <c r="S237" i="13" s="1"/>
  <c r="R225" i="13"/>
  <c r="S225" i="13" s="1"/>
  <c r="R125" i="13"/>
  <c r="S125" i="13" s="1"/>
  <c r="R109" i="13"/>
  <c r="S109" i="13" s="1"/>
  <c r="R91" i="13"/>
  <c r="S91" i="13" s="1"/>
  <c r="R75" i="13"/>
  <c r="S75" i="13" s="1"/>
  <c r="R59" i="13"/>
  <c r="S59" i="13" s="1"/>
  <c r="R182" i="13"/>
  <c r="S182" i="13" s="1"/>
  <c r="R121" i="13"/>
  <c r="S121" i="13" s="1"/>
  <c r="R84" i="13"/>
  <c r="S84" i="13" s="1"/>
  <c r="R186" i="13"/>
  <c r="S186" i="13" s="1"/>
  <c r="R138" i="13"/>
  <c r="S138" i="13" s="1"/>
  <c r="R178" i="13"/>
  <c r="S178" i="13" s="1"/>
  <c r="R30" i="13"/>
  <c r="S30" i="13" s="1"/>
  <c r="R28" i="13"/>
  <c r="S28" i="13" s="1"/>
  <c r="R444" i="13"/>
  <c r="S444" i="13" s="1"/>
  <c r="R414" i="13"/>
  <c r="S414" i="13" s="1"/>
  <c r="R426" i="13"/>
  <c r="S426" i="13" s="1"/>
  <c r="R443" i="13"/>
  <c r="S443" i="13" s="1"/>
  <c r="R434" i="13"/>
  <c r="S434" i="13" s="1"/>
  <c r="R389" i="13"/>
  <c r="S389" i="13" s="1"/>
  <c r="R375" i="13"/>
  <c r="S375" i="13" s="1"/>
  <c r="R367" i="13"/>
  <c r="S367" i="13" s="1"/>
  <c r="R424" i="13"/>
  <c r="S424" i="13" s="1"/>
  <c r="R409" i="13"/>
  <c r="S409" i="13" s="1"/>
  <c r="R360" i="13"/>
  <c r="S360" i="13" s="1"/>
  <c r="R425" i="13"/>
  <c r="S425" i="13" s="1"/>
  <c r="R405" i="13"/>
  <c r="S405" i="13" s="1"/>
  <c r="R400" i="13"/>
  <c r="S400" i="13" s="1"/>
  <c r="R368" i="13"/>
  <c r="S368" i="13" s="1"/>
  <c r="R331" i="13"/>
  <c r="S331" i="13" s="1"/>
  <c r="R323" i="13"/>
  <c r="S323" i="13" s="1"/>
  <c r="R315" i="13"/>
  <c r="S315" i="13" s="1"/>
  <c r="R307" i="13"/>
  <c r="S307" i="13" s="1"/>
  <c r="R299" i="13"/>
  <c r="S299" i="13" s="1"/>
  <c r="R291" i="13"/>
  <c r="S291" i="13" s="1"/>
  <c r="R384" i="13"/>
  <c r="S384" i="13" s="1"/>
  <c r="R366" i="13"/>
  <c r="S366" i="13" s="1"/>
  <c r="R353" i="13"/>
  <c r="S353" i="13" s="1"/>
  <c r="R328" i="13"/>
  <c r="S328" i="13" s="1"/>
  <c r="R312" i="13"/>
  <c r="S312" i="13" s="1"/>
  <c r="R296" i="13"/>
  <c r="S296" i="13" s="1"/>
  <c r="R374" i="13"/>
  <c r="S374" i="13" s="1"/>
  <c r="R345" i="13"/>
  <c r="S345" i="13" s="1"/>
  <c r="R326" i="13"/>
  <c r="S326" i="13" s="1"/>
  <c r="R310" i="13"/>
  <c r="S310" i="13" s="1"/>
  <c r="R294" i="13"/>
  <c r="S294" i="13" s="1"/>
  <c r="R358" i="13"/>
  <c r="S358" i="13" s="1"/>
  <c r="R346" i="13"/>
  <c r="S346" i="13" s="1"/>
  <c r="R254" i="13"/>
  <c r="S254" i="13" s="1"/>
  <c r="R246" i="13"/>
  <c r="S246" i="13" s="1"/>
  <c r="R238" i="13"/>
  <c r="S238" i="13" s="1"/>
  <c r="R230" i="13"/>
  <c r="S230" i="13" s="1"/>
  <c r="R222" i="13"/>
  <c r="S222" i="13" s="1"/>
  <c r="R214" i="13"/>
  <c r="S214" i="13" s="1"/>
  <c r="R206" i="13"/>
  <c r="S206" i="13" s="1"/>
  <c r="R196" i="13"/>
  <c r="S196" i="13" s="1"/>
  <c r="R197" i="13"/>
  <c r="S197" i="13" s="1"/>
  <c r="R251" i="13"/>
  <c r="S251" i="13" s="1"/>
  <c r="R227" i="13"/>
  <c r="S227" i="13" s="1"/>
  <c r="R203" i="13"/>
  <c r="S203" i="13" s="1"/>
  <c r="R256" i="13"/>
  <c r="S256" i="13" s="1"/>
  <c r="R249" i="13"/>
  <c r="S249" i="13" s="1"/>
  <c r="R229" i="13"/>
  <c r="S229" i="13" s="1"/>
  <c r="R217" i="13"/>
  <c r="S217" i="13" s="1"/>
  <c r="R449" i="13"/>
  <c r="S449" i="13" s="1"/>
  <c r="R432" i="13"/>
  <c r="S432" i="13" s="1"/>
  <c r="R276" i="13"/>
  <c r="S276" i="13" s="1"/>
  <c r="R261" i="13"/>
  <c r="S261" i="13" s="1"/>
  <c r="R243" i="13"/>
  <c r="S243" i="13" s="1"/>
  <c r="R235" i="13"/>
  <c r="S235" i="13" s="1"/>
  <c r="R184" i="13"/>
  <c r="S184" i="13" s="1"/>
  <c r="R144" i="13"/>
  <c r="S144" i="13" s="1"/>
  <c r="R164" i="13"/>
  <c r="S164" i="13" s="1"/>
  <c r="R122" i="13"/>
  <c r="S122" i="13" s="1"/>
  <c r="R111" i="13"/>
  <c r="S111" i="13" s="1"/>
  <c r="R93" i="13"/>
  <c r="S93" i="13" s="1"/>
  <c r="R77" i="13"/>
  <c r="S77" i="13" s="1"/>
  <c r="R156" i="13"/>
  <c r="S156" i="13" s="1"/>
  <c r="R134" i="13"/>
  <c r="S134" i="13" s="1"/>
  <c r="R126" i="13"/>
  <c r="S126" i="13" s="1"/>
  <c r="R118" i="13"/>
  <c r="S118" i="13" s="1"/>
  <c r="R110" i="13"/>
  <c r="S110" i="13" s="1"/>
  <c r="R102" i="13"/>
  <c r="S102" i="13" s="1"/>
  <c r="R97" i="13"/>
  <c r="S97" i="13" s="1"/>
  <c r="R89" i="13"/>
  <c r="S89" i="13" s="1"/>
  <c r="R81" i="13"/>
  <c r="S81" i="13" s="1"/>
  <c r="R116" i="13"/>
  <c r="S116" i="13" s="1"/>
  <c r="R100" i="13"/>
  <c r="S100" i="13" s="1"/>
  <c r="R87" i="13"/>
  <c r="S87" i="13" s="1"/>
  <c r="R76" i="13"/>
  <c r="S76" i="13" s="1"/>
  <c r="R22" i="13"/>
  <c r="S22" i="13" s="1"/>
  <c r="R148" i="13"/>
  <c r="S148" i="13" s="1"/>
  <c r="R119" i="13"/>
  <c r="S119" i="13" s="1"/>
  <c r="R103" i="13"/>
  <c r="S103" i="13" s="1"/>
  <c r="R82" i="13"/>
  <c r="S82" i="13" s="1"/>
  <c r="R47" i="13"/>
  <c r="S47" i="13" s="1"/>
  <c r="R39" i="13"/>
  <c r="S39" i="13" s="1"/>
  <c r="R44" i="13"/>
  <c r="S44" i="13" s="1"/>
  <c r="R24" i="13"/>
  <c r="S24" i="13" s="1"/>
  <c r="R51" i="13"/>
  <c r="S51" i="13" s="1"/>
  <c r="R31" i="13"/>
  <c r="S31" i="13" s="1"/>
  <c r="R26" i="13"/>
  <c r="S26" i="13" s="1"/>
  <c r="R440" i="13"/>
  <c r="S440" i="13" s="1"/>
  <c r="R420" i="13"/>
  <c r="S420" i="13" s="1"/>
  <c r="R410" i="13"/>
  <c r="S410" i="13" s="1"/>
  <c r="R404" i="13"/>
  <c r="S404" i="13" s="1"/>
  <c r="R411" i="13"/>
  <c r="S411" i="13" s="1"/>
  <c r="R390" i="13"/>
  <c r="S390" i="13" s="1"/>
  <c r="R371" i="13"/>
  <c r="S371" i="13" s="1"/>
  <c r="R445" i="13"/>
  <c r="S445" i="13" s="1"/>
  <c r="R392" i="13"/>
  <c r="S392" i="13" s="1"/>
  <c r="R327" i="13"/>
  <c r="S327" i="13" s="1"/>
  <c r="R311" i="13"/>
  <c r="S311" i="13" s="1"/>
  <c r="R295" i="13"/>
  <c r="S295" i="13" s="1"/>
  <c r="R362" i="13"/>
  <c r="S362" i="13" s="1"/>
  <c r="R354" i="13"/>
  <c r="S354" i="13" s="1"/>
  <c r="R330" i="13"/>
  <c r="S330" i="13" s="1"/>
  <c r="R298" i="13"/>
  <c r="S298" i="13" s="1"/>
  <c r="R282" i="13"/>
  <c r="S282" i="13" s="1"/>
  <c r="R257" i="13"/>
  <c r="S257" i="13" s="1"/>
  <c r="R258" i="13"/>
  <c r="S258" i="13" s="1"/>
  <c r="R211" i="13"/>
  <c r="S211" i="13" s="1"/>
  <c r="R342" i="13"/>
  <c r="S342" i="13" s="1"/>
  <c r="R324" i="13"/>
  <c r="S324" i="13" s="1"/>
  <c r="R308" i="13"/>
  <c r="S308" i="13" s="1"/>
  <c r="R292" i="13"/>
  <c r="S292" i="13" s="1"/>
  <c r="R245" i="13"/>
  <c r="S245" i="13" s="1"/>
  <c r="R233" i="13"/>
  <c r="S233" i="13" s="1"/>
  <c r="R213" i="13"/>
  <c r="S213" i="13" s="1"/>
  <c r="R201" i="13"/>
  <c r="S201" i="13" s="1"/>
  <c r="R437" i="13"/>
  <c r="S437" i="13" s="1"/>
  <c r="R388" i="13"/>
  <c r="S388" i="13" s="1"/>
  <c r="R284" i="13"/>
  <c r="S284" i="13" s="1"/>
  <c r="R271" i="13"/>
  <c r="S271" i="13" s="1"/>
  <c r="R219" i="13"/>
  <c r="S219" i="13" s="1"/>
  <c r="R160" i="13"/>
  <c r="S160" i="13" s="1"/>
  <c r="R192" i="13"/>
  <c r="S192" i="13" s="1"/>
  <c r="R176" i="13"/>
  <c r="S176" i="13" s="1"/>
  <c r="R130" i="13"/>
  <c r="S130" i="13" s="1"/>
  <c r="R114" i="13"/>
  <c r="S114" i="13" s="1"/>
  <c r="R98" i="13"/>
  <c r="S98" i="13" s="1"/>
  <c r="R85" i="13"/>
  <c r="S85" i="13" s="1"/>
  <c r="R69" i="13"/>
  <c r="S69" i="13" s="1"/>
  <c r="R61" i="13"/>
  <c r="S61" i="13" s="1"/>
  <c r="R53" i="13"/>
  <c r="S53" i="13" s="1"/>
  <c r="R45" i="13"/>
  <c r="S45" i="13" s="1"/>
  <c r="R188" i="13"/>
  <c r="S188" i="13" s="1"/>
  <c r="R172" i="13"/>
  <c r="S172" i="13" s="1"/>
  <c r="R140" i="13"/>
  <c r="S140" i="13" s="1"/>
  <c r="R131" i="13"/>
  <c r="S131" i="13" s="1"/>
  <c r="R123" i="13"/>
  <c r="S123" i="13" s="1"/>
  <c r="R115" i="13"/>
  <c r="S115" i="13" s="1"/>
  <c r="R107" i="13"/>
  <c r="S107" i="13" s="1"/>
  <c r="R99" i="13"/>
  <c r="S99" i="13" s="1"/>
  <c r="R429" i="13"/>
  <c r="S429" i="13" s="1"/>
  <c r="R403" i="13"/>
  <c r="S403" i="13" s="1"/>
  <c r="R441" i="13"/>
  <c r="S441" i="13" s="1"/>
  <c r="R442" i="13"/>
  <c r="S442" i="13" s="1"/>
  <c r="R383" i="13"/>
  <c r="S383" i="13" s="1"/>
  <c r="R343" i="13"/>
  <c r="S343" i="13" s="1"/>
  <c r="R322" i="13"/>
  <c r="S322" i="13" s="1"/>
  <c r="R290" i="13"/>
  <c r="S290" i="13" s="1"/>
  <c r="R279" i="13"/>
  <c r="S279" i="13" s="1"/>
  <c r="R320" i="13"/>
  <c r="S320" i="13" s="1"/>
  <c r="R288" i="13"/>
  <c r="S288" i="13" s="1"/>
  <c r="R270" i="13"/>
  <c r="S270" i="13" s="1"/>
  <c r="R272" i="13"/>
  <c r="S272" i="13" s="1"/>
  <c r="R189" i="13"/>
  <c r="S189" i="13" s="1"/>
  <c r="R173" i="13"/>
  <c r="S173" i="13" s="1"/>
  <c r="R228" i="13"/>
  <c r="S228" i="13" s="1"/>
  <c r="R278" i="13"/>
  <c r="S278" i="13" s="1"/>
  <c r="R260" i="13"/>
  <c r="S260" i="13" s="1"/>
  <c r="R205" i="13"/>
  <c r="S205" i="13" s="1"/>
  <c r="R133" i="13"/>
  <c r="S133" i="13" s="1"/>
  <c r="R117" i="13"/>
  <c r="S117" i="13" s="1"/>
  <c r="R101" i="13"/>
  <c r="S101" i="13" s="1"/>
  <c r="R83" i="13"/>
  <c r="S83" i="13" s="1"/>
  <c r="R67" i="13"/>
  <c r="S67" i="13" s="1"/>
  <c r="R132" i="13"/>
  <c r="S132" i="13" s="1"/>
  <c r="R105" i="13"/>
  <c r="S105" i="13" s="1"/>
  <c r="R194" i="13"/>
  <c r="S194" i="13" s="1"/>
  <c r="R166" i="13"/>
  <c r="S166" i="13" s="1"/>
  <c r="R146" i="13"/>
  <c r="S146" i="13" s="1"/>
  <c r="R152" i="13"/>
  <c r="S152" i="13" s="1"/>
  <c r="R158" i="13"/>
  <c r="S158" i="13" s="1"/>
  <c r="R18" i="13"/>
  <c r="S18" i="13" s="1"/>
  <c r="R27" i="13"/>
  <c r="S27" i="13" s="1"/>
  <c r="R450" i="13"/>
  <c r="S450" i="13" s="1"/>
  <c r="R427" i="13"/>
  <c r="S427" i="13" s="1"/>
  <c r="R418" i="13"/>
  <c r="S418" i="13" s="1"/>
  <c r="R406" i="13"/>
  <c r="S406" i="13" s="1"/>
  <c r="R448" i="13"/>
  <c r="S448" i="13" s="1"/>
  <c r="R433" i="13"/>
  <c r="S433" i="13" s="1"/>
  <c r="R421" i="13"/>
  <c r="S421" i="13" s="1"/>
  <c r="R408" i="13"/>
  <c r="S408" i="13" s="1"/>
  <c r="R436" i="13"/>
  <c r="S436" i="13" s="1"/>
  <c r="R364" i="13"/>
  <c r="S364" i="13" s="1"/>
  <c r="R394" i="13"/>
  <c r="S394" i="13" s="1"/>
  <c r="R350" i="13"/>
  <c r="S350" i="13" s="1"/>
  <c r="R344" i="13"/>
  <c r="S344" i="13" s="1"/>
  <c r="R274" i="13"/>
  <c r="S274" i="13" s="1"/>
  <c r="R380" i="13"/>
  <c r="S380" i="13" s="1"/>
  <c r="R372" i="13"/>
  <c r="S372" i="13" s="1"/>
  <c r="R370" i="13"/>
  <c r="S370" i="13" s="1"/>
  <c r="R340" i="13"/>
  <c r="S340" i="13" s="1"/>
  <c r="R283" i="13"/>
  <c r="S283" i="13" s="1"/>
  <c r="R275" i="13"/>
  <c r="S275" i="13" s="1"/>
  <c r="R268" i="13"/>
  <c r="S268" i="13" s="1"/>
  <c r="R356" i="13"/>
  <c r="S356" i="13" s="1"/>
  <c r="R332" i="13"/>
  <c r="S332" i="13" s="1"/>
  <c r="R316" i="13"/>
  <c r="S316" i="13" s="1"/>
  <c r="R300" i="13"/>
  <c r="S300" i="13" s="1"/>
  <c r="R352" i="13"/>
  <c r="S352" i="13" s="1"/>
  <c r="R277" i="13"/>
  <c r="S277" i="13" s="1"/>
  <c r="R262" i="13"/>
  <c r="S262" i="13" s="1"/>
  <c r="R248" i="13"/>
  <c r="S248" i="13" s="1"/>
  <c r="R240" i="13"/>
  <c r="S240" i="13" s="1"/>
  <c r="R232" i="13"/>
  <c r="S232" i="13" s="1"/>
  <c r="R224" i="13"/>
  <c r="S224" i="13" s="1"/>
  <c r="R216" i="13"/>
  <c r="S216" i="13" s="1"/>
  <c r="R208" i="13"/>
  <c r="S208" i="13" s="1"/>
  <c r="R200" i="13"/>
  <c r="S200" i="13" s="1"/>
  <c r="R193" i="13"/>
  <c r="S193" i="13" s="1"/>
  <c r="R185" i="13"/>
  <c r="S185" i="13" s="1"/>
  <c r="R177" i="13"/>
  <c r="S177" i="13" s="1"/>
  <c r="R280" i="13"/>
  <c r="S280" i="13" s="1"/>
  <c r="R252" i="13"/>
  <c r="S252" i="13" s="1"/>
  <c r="R236" i="13"/>
  <c r="S236" i="13" s="1"/>
  <c r="R220" i="13"/>
  <c r="S220" i="13" s="1"/>
  <c r="R204" i="13"/>
  <c r="S204" i="13" s="1"/>
  <c r="R334" i="13"/>
  <c r="S334" i="13" s="1"/>
  <c r="R318" i="13"/>
  <c r="S318" i="13" s="1"/>
  <c r="R302" i="13"/>
  <c r="S302" i="13" s="1"/>
  <c r="R286" i="13"/>
  <c r="S286" i="13" s="1"/>
  <c r="R264" i="13"/>
  <c r="S264" i="13" s="1"/>
  <c r="R253" i="13"/>
  <c r="S253" i="13" s="1"/>
  <c r="R241" i="13"/>
  <c r="S241" i="13" s="1"/>
  <c r="R221" i="13"/>
  <c r="S221" i="13" s="1"/>
  <c r="R209" i="13"/>
  <c r="S209" i="13" s="1"/>
  <c r="R386" i="13"/>
  <c r="S386" i="13" s="1"/>
  <c r="R190" i="13"/>
  <c r="S190" i="13" s="1"/>
  <c r="R128" i="13"/>
  <c r="S128" i="13" s="1"/>
  <c r="R120" i="13"/>
  <c r="S120" i="13" s="1"/>
  <c r="R112" i="13"/>
  <c r="S112" i="13" s="1"/>
  <c r="R104" i="13"/>
  <c r="S104" i="13" s="1"/>
  <c r="R96" i="13"/>
  <c r="S96" i="13" s="1"/>
  <c r="R88" i="13"/>
  <c r="S88" i="13" s="1"/>
  <c r="R80" i="13"/>
  <c r="S80" i="13" s="1"/>
  <c r="R71" i="13"/>
  <c r="S71" i="13" s="1"/>
  <c r="R63" i="13"/>
  <c r="S63" i="13" s="1"/>
  <c r="R55" i="13"/>
  <c r="S55" i="13" s="1"/>
  <c r="R124" i="13"/>
  <c r="S124" i="13" s="1"/>
  <c r="R108" i="13"/>
  <c r="S108" i="13" s="1"/>
  <c r="R92" i="13"/>
  <c r="S92" i="13" s="1"/>
  <c r="R38" i="13"/>
  <c r="S38" i="13" s="1"/>
  <c r="R170" i="13"/>
  <c r="S170" i="13" s="1"/>
  <c r="R142" i="13"/>
  <c r="S142" i="13" s="1"/>
  <c r="R162" i="13"/>
  <c r="S162" i="13" s="1"/>
  <c r="R150" i="13"/>
  <c r="S150" i="13" s="1"/>
  <c r="R168" i="13"/>
  <c r="S168" i="13" s="1"/>
  <c r="R136" i="13"/>
  <c r="S136" i="13" s="1"/>
  <c r="R154" i="13"/>
  <c r="S154" i="13" s="1"/>
  <c r="R19" i="13"/>
  <c r="S19" i="13" s="1"/>
  <c r="R35" i="13"/>
  <c r="S35" i="13" s="1"/>
  <c r="R34" i="13"/>
  <c r="S34" i="13" s="1"/>
  <c r="R23" i="13"/>
  <c r="S23" i="13" s="1"/>
  <c r="R17" i="13"/>
  <c r="S17" i="13" s="1"/>
  <c r="R7" i="13"/>
  <c r="S7" i="13" s="1"/>
  <c r="R8" i="13"/>
  <c r="S8" i="13" s="1"/>
  <c r="R11" i="13"/>
  <c r="S11" i="13" s="1"/>
  <c r="R10" i="13"/>
  <c r="S10" i="13" s="1"/>
  <c r="R9" i="13"/>
  <c r="S9" i="13" s="1"/>
  <c r="R6" i="13"/>
  <c r="S6" i="13" s="1"/>
  <c r="R16" i="13"/>
  <c r="S16" i="13" s="1"/>
  <c r="R15" i="13"/>
  <c r="S15" i="13" s="1"/>
  <c r="R14" i="13"/>
  <c r="S14" i="13" s="1"/>
  <c r="R13" i="13"/>
  <c r="S13" i="13" s="1"/>
  <c r="K454" i="13"/>
  <c r="M12" i="13"/>
  <c r="N6" i="11" l="1"/>
  <c r="N23" i="11" s="1"/>
  <c r="C23" i="14" s="1"/>
  <c r="E23" i="14" s="1"/>
  <c r="O6" i="5"/>
  <c r="L36" i="5"/>
  <c r="D22" i="14" s="1"/>
  <c r="D24" i="14" s="1"/>
  <c r="Q24" i="5"/>
  <c r="R24" i="5" s="1"/>
  <c r="N36" i="5"/>
  <c r="Q6" i="5"/>
  <c r="M454" i="13"/>
  <c r="O12" i="13"/>
  <c r="J3" i="14"/>
  <c r="B16" i="14"/>
  <c r="B17" i="14" s="1"/>
  <c r="B29" i="14" s="1"/>
  <c r="B31" i="14" s="1"/>
  <c r="Q36" i="5" l="1"/>
  <c r="R6" i="5"/>
  <c r="R36" i="5" s="1"/>
  <c r="C22" i="14" s="1"/>
  <c r="E22" i="14" s="1"/>
  <c r="G4" i="14"/>
  <c r="G3" i="14"/>
  <c r="G5" i="14"/>
  <c r="G2" i="14"/>
  <c r="D30" i="14"/>
  <c r="L5" i="14"/>
  <c r="N12" i="13"/>
  <c r="N454" i="13" s="1"/>
  <c r="D16" i="14" s="1"/>
  <c r="D17" i="14" s="1"/>
  <c r="O454" i="13"/>
  <c r="P12" i="13"/>
  <c r="C24" i="14" l="1"/>
  <c r="E24" i="14" s="1"/>
  <c r="G6" i="14"/>
  <c r="L6" i="14" s="1"/>
  <c r="L7" i="14" s="1"/>
  <c r="L8" i="14" s="1"/>
  <c r="R12" i="13"/>
  <c r="R454" i="13" s="1"/>
  <c r="P454" i="13"/>
  <c r="D29" i="14"/>
  <c r="D31" i="14" s="1"/>
  <c r="J5" i="14"/>
  <c r="C30" i="14" l="1"/>
  <c r="E30" i="14" s="1"/>
  <c r="D11" i="14"/>
  <c r="S12" i="13"/>
  <c r="S454" i="13" s="1"/>
  <c r="S458" i="13" s="1"/>
  <c r="S460" i="13" s="1"/>
  <c r="F5" i="14"/>
  <c r="F3" i="14"/>
  <c r="F2" i="14"/>
  <c r="F4" i="14"/>
  <c r="J31" i="14" l="1"/>
  <c r="K31" i="14" s="1"/>
  <c r="J28" i="14"/>
  <c r="K28" i="14" s="1"/>
  <c r="J29" i="14"/>
  <c r="K29" i="14" s="1"/>
  <c r="J30" i="14"/>
  <c r="K30" i="14" s="1"/>
  <c r="J27" i="14"/>
  <c r="K27" i="14" s="1"/>
  <c r="K456" i="13"/>
  <c r="C16" i="14"/>
  <c r="C17" i="14" s="1"/>
  <c r="F6" i="14"/>
  <c r="K32" i="14" l="1"/>
  <c r="J32" i="14"/>
  <c r="E16" i="14"/>
  <c r="E17" i="14"/>
  <c r="C29" i="14"/>
  <c r="D10" i="14"/>
  <c r="D12" i="14" s="1"/>
  <c r="G7" i="14"/>
  <c r="J6" i="14"/>
  <c r="J7" i="14" s="1"/>
  <c r="J8" i="14" s="1"/>
  <c r="K9" i="14" s="1"/>
  <c r="J17" i="14" l="1"/>
  <c r="J19" i="14"/>
  <c r="K19" i="14" s="1"/>
  <c r="J18" i="14"/>
  <c r="K18" i="14" s="1"/>
  <c r="J20" i="14"/>
  <c r="K20" i="14" s="1"/>
  <c r="C31" i="14"/>
  <c r="E29" i="14"/>
  <c r="K17" i="14" l="1"/>
  <c r="C33" i="14"/>
  <c r="E31" i="14"/>
  <c r="J21" i="14" l="1"/>
  <c r="J37" i="14"/>
  <c r="J39" i="14"/>
  <c r="K39" i="14" s="1"/>
  <c r="J41" i="14"/>
  <c r="K41" i="14" s="1"/>
  <c r="J38" i="14"/>
  <c r="K38" i="14" s="1"/>
  <c r="J40" i="14"/>
  <c r="K40" i="14" s="1"/>
  <c r="E33" i="14"/>
  <c r="J42" i="14" l="1"/>
  <c r="K37" i="14"/>
  <c r="K42" i="14" s="1"/>
  <c r="K21" i="14"/>
  <c r="K22" i="14" s="1"/>
  <c r="J22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AGS_NOTE</author>
    <author>Ricardo</author>
  </authors>
  <commentList>
    <comment ref="H39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AGS_NOTE:</t>
        </r>
        <r>
          <rPr>
            <sz val="9"/>
            <color indexed="81"/>
            <rFont val="Tahoma"/>
            <family val="2"/>
          </rPr>
          <t xml:space="preserve">
Preço Dimensional</t>
        </r>
      </text>
    </comment>
    <comment ref="A460" authorId="1" shapeId="0" xr:uid="{5F7557C4-D853-4336-BA27-A7759B47879D}">
      <text>
        <r>
          <rPr>
            <b/>
            <sz val="8"/>
            <color indexed="81"/>
            <rFont val="Tahoma"/>
            <family val="2"/>
          </rPr>
          <t>Lista criada através do menu Dados-&gt;Validação de Dados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  <author>DHUAN</author>
  </authors>
  <commentList>
    <comment ref="A42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Lista criada através do menu Dados-&gt;Validação de Dados</t>
        </r>
      </text>
    </comment>
    <comment ref="G4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4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3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K4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Multiplicador do grau de complexidade.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4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K44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Multiplicador do grau de complexidade</t>
        </r>
      </text>
    </comment>
    <comment ref="G4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5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5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5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K45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Multiplicador do grau de complexidade</t>
        </r>
      </text>
    </comment>
    <comment ref="G46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46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6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6" authorId="1" shapeId="0" xr:uid="{00000000-0006-0000-0200-00001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47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47" authorId="1" shapeId="0" xr:uid="{00000000-0006-0000-0200-000016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7" authorId="1" shapeId="0" xr:uid="{00000000-0006-0000-0200-000017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7" authorId="1" shapeId="0" xr:uid="{00000000-0006-0000-0200-00001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48" authorId="1" shapeId="0" xr:uid="{00000000-0006-0000-0200-000019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48" authorId="1" shapeId="0" xr:uid="{00000000-0006-0000-0200-00001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8" authorId="1" shapeId="0" xr:uid="{00000000-0006-0000-0200-00001B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8" authorId="1" shapeId="0" xr:uid="{00000000-0006-0000-0200-00001C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49" authorId="1" shapeId="0" xr:uid="{00000000-0006-0000-0200-00001D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49" authorId="1" shapeId="0" xr:uid="{00000000-0006-0000-0200-00001E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49" authorId="1" shapeId="0" xr:uid="{00000000-0006-0000-0200-00001F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49" authorId="1" shapeId="0" xr:uid="{00000000-0006-0000-0200-000020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0" authorId="1" shapeId="0" xr:uid="{00000000-0006-0000-0200-000021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0" authorId="1" shapeId="0" xr:uid="{00000000-0006-0000-0200-000022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0" authorId="1" shapeId="0" xr:uid="{00000000-0006-0000-0200-00002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0" authorId="1" shapeId="0" xr:uid="{00000000-0006-0000-0200-00002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1" authorId="1" shapeId="0" xr:uid="{00000000-0006-0000-0200-000025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1" authorId="1" shapeId="0" xr:uid="{00000000-0006-0000-0200-000026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1" authorId="1" shapeId="0" xr:uid="{00000000-0006-0000-0200-000027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1" authorId="1" shapeId="0" xr:uid="{00000000-0006-0000-0200-00002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2" authorId="1" shapeId="0" xr:uid="{00000000-0006-0000-0200-000029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2" authorId="1" shapeId="0" xr:uid="{00000000-0006-0000-0200-00002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2" authorId="1" shapeId="0" xr:uid="{00000000-0006-0000-0200-00002B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2" authorId="1" shapeId="0" xr:uid="{00000000-0006-0000-0200-00002C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3" authorId="1" shapeId="0" xr:uid="{00000000-0006-0000-0200-00002D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3" authorId="1" shapeId="0" xr:uid="{00000000-0006-0000-0200-00002E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3" authorId="1" shapeId="0" xr:uid="{00000000-0006-0000-0200-00002F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3" authorId="1" shapeId="0" xr:uid="{00000000-0006-0000-0200-000030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4" authorId="1" shapeId="0" xr:uid="{00000000-0006-0000-0200-000031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4" authorId="1" shapeId="0" xr:uid="{00000000-0006-0000-0200-000032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4" authorId="1" shapeId="0" xr:uid="{00000000-0006-0000-0200-00003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4" authorId="1" shapeId="0" xr:uid="{00000000-0006-0000-0200-00003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5" authorId="1" shapeId="0" xr:uid="{00000000-0006-0000-0200-000035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5" authorId="1" shapeId="0" xr:uid="{00000000-0006-0000-0200-000036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5" authorId="1" shapeId="0" xr:uid="{00000000-0006-0000-0200-000037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5" authorId="1" shapeId="0" xr:uid="{00000000-0006-0000-0200-00003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6" authorId="1" shapeId="0" xr:uid="{00000000-0006-0000-0200-000039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6" authorId="1" shapeId="0" xr:uid="{00000000-0006-0000-0200-00003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6" authorId="1" shapeId="0" xr:uid="{00000000-0006-0000-0200-00003B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6" authorId="1" shapeId="0" xr:uid="{00000000-0006-0000-0200-00003C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7" authorId="1" shapeId="0" xr:uid="{00000000-0006-0000-0200-00003D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7" authorId="1" shapeId="0" xr:uid="{00000000-0006-0000-0200-00003E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7" authorId="1" shapeId="0" xr:uid="{00000000-0006-0000-0200-00003F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7" authorId="1" shapeId="0" xr:uid="{00000000-0006-0000-0200-000040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8" authorId="1" shapeId="0" xr:uid="{00000000-0006-0000-0200-000041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8" authorId="1" shapeId="0" xr:uid="{00000000-0006-0000-0200-000042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8" authorId="1" shapeId="0" xr:uid="{00000000-0006-0000-0200-00004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8" authorId="1" shapeId="0" xr:uid="{00000000-0006-0000-0200-00004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59" authorId="1" shapeId="0" xr:uid="{00000000-0006-0000-0200-000045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59" authorId="1" shapeId="0" xr:uid="{00000000-0006-0000-0200-000046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59" authorId="1" shapeId="0" xr:uid="{00000000-0006-0000-0200-000047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59" authorId="1" shapeId="0" xr:uid="{00000000-0006-0000-0200-00004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0" authorId="1" shapeId="0" xr:uid="{00000000-0006-0000-0200-000049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0" authorId="1" shapeId="0" xr:uid="{00000000-0006-0000-0200-00004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0" authorId="1" shapeId="0" xr:uid="{00000000-0006-0000-0200-00004B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0" authorId="1" shapeId="0" xr:uid="{00000000-0006-0000-0200-00004C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1" authorId="1" shapeId="0" xr:uid="{00000000-0006-0000-0200-00004D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1" authorId="1" shapeId="0" xr:uid="{00000000-0006-0000-0200-00004E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1" authorId="1" shapeId="0" xr:uid="{00000000-0006-0000-0200-00004F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1" authorId="1" shapeId="0" xr:uid="{00000000-0006-0000-0200-000050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2" authorId="1" shapeId="0" xr:uid="{00000000-0006-0000-0200-000051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2" authorId="1" shapeId="0" xr:uid="{00000000-0006-0000-0200-000052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2" authorId="1" shapeId="0" xr:uid="{00000000-0006-0000-0200-00005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2" authorId="1" shapeId="0" xr:uid="{00000000-0006-0000-0200-00005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3" authorId="1" shapeId="0" xr:uid="{00000000-0006-0000-0200-000055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3" authorId="1" shapeId="0" xr:uid="{00000000-0006-0000-0200-000056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3" authorId="1" shapeId="0" xr:uid="{00000000-0006-0000-0200-000057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3" authorId="1" shapeId="0" xr:uid="{00000000-0006-0000-0200-00005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4" authorId="1" shapeId="0" xr:uid="{00000000-0006-0000-0200-000059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4" authorId="1" shapeId="0" xr:uid="{00000000-0006-0000-0200-00005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4" authorId="1" shapeId="0" xr:uid="{00000000-0006-0000-0200-00005B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4" authorId="1" shapeId="0" xr:uid="{00000000-0006-0000-0200-00005C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5" authorId="1" shapeId="0" xr:uid="{00000000-0006-0000-0200-00005D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5" authorId="1" shapeId="0" xr:uid="{00000000-0006-0000-0200-00005E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5" authorId="1" shapeId="0" xr:uid="{00000000-0006-0000-0200-00005F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5" authorId="1" shapeId="0" xr:uid="{00000000-0006-0000-0200-000060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6" authorId="1" shapeId="0" xr:uid="{00000000-0006-0000-0200-000061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6" authorId="1" shapeId="0" xr:uid="{00000000-0006-0000-0200-000062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6" authorId="1" shapeId="0" xr:uid="{00000000-0006-0000-0200-000063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6" authorId="1" shapeId="0" xr:uid="{00000000-0006-0000-0200-000064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7" authorId="1" shapeId="0" xr:uid="{00000000-0006-0000-0200-000065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7" authorId="1" shapeId="0" xr:uid="{00000000-0006-0000-0200-000066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7" authorId="1" shapeId="0" xr:uid="{00000000-0006-0000-0200-000067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7" authorId="1" shapeId="0" xr:uid="{00000000-0006-0000-0200-000068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G68" authorId="1" shapeId="0" xr:uid="{00000000-0006-0000-0200-000069000000}">
      <text>
        <r>
          <rPr>
            <b/>
            <sz val="9"/>
            <color indexed="81"/>
            <rFont val="Tahoma"/>
            <family val="2"/>
          </rPr>
          <t>Valor base para cálculo de multiplicação do grau de complexidade</t>
        </r>
      </text>
    </comment>
    <comment ref="H68" authorId="1" shapeId="0" xr:uid="{00000000-0006-0000-0200-00006A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I68" authorId="1" shapeId="0" xr:uid="{00000000-0006-0000-0200-00006B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  <comment ref="J68" authorId="1" shapeId="0" xr:uid="{00000000-0006-0000-0200-00006C000000}">
      <text>
        <r>
          <rPr>
            <b/>
            <sz val="9"/>
            <color indexed="81"/>
            <rFont val="Tahoma"/>
            <family val="2"/>
          </rPr>
          <t>Não alterar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A27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Lista criada através do menu Dados-&gt;Validação de Dados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K26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Quantidade de casas a ser
arredondado, por exemplo:
Valor = R$ 1.111,11
"X" Casas Decimais
X=2 -&gt; R$ 1.111,11
X=1 -&gt; R$ 1.111,20
X=0 -&gt; R$ 1.112,00
X=-1 -&gt; R$ 1.120,00
X=-2 -&gt; R$ 1.200,00</t>
        </r>
      </text>
    </comment>
    <comment ref="K36" authorId="0" shapeId="0" xr:uid="{CE59A359-604D-4FF7-8328-55C2C262F52C}">
      <text>
        <r>
          <rPr>
            <b/>
            <sz val="8"/>
            <color indexed="81"/>
            <rFont val="Tahoma"/>
            <family val="2"/>
          </rPr>
          <t>Quantidade de casas a ser
arredondado, por exemplo:
Valor = R$ 1.111,11
"X" Casas Decimais
X=2 -&gt; R$ 1.111,11
X=1 -&gt; R$ 1.111,20
X=0 -&gt; R$ 1.112,00
X=-1 -&gt; R$ 1.120,00
X=-2 -&gt; R$ 1.200,00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435A83-EF9F-4404-A364-E6A7FE3D65BA}" keepAlive="1" name="Consulta - DbMateriais" description="Conexão com a consulta 'DbMateriais' na pasta de trabalho." type="5" refreshedVersion="8" background="1" saveData="1">
    <dbPr connection="Provider=Microsoft.Mashup.OleDb.1;Data Source=$Workbook$;Location=DbMateriais;Extended Properties=&quot;&quot;" command="SELECT * FROM [DbMateriais]"/>
  </connection>
</connections>
</file>

<file path=xl/sharedStrings.xml><?xml version="1.0" encoding="utf-8"?>
<sst xmlns="http://schemas.openxmlformats.org/spreadsheetml/2006/main" count="2910" uniqueCount="1065">
  <si>
    <t>Qtde.</t>
  </si>
  <si>
    <t>Código</t>
  </si>
  <si>
    <t>Tipo</t>
  </si>
  <si>
    <t>Descrição</t>
  </si>
  <si>
    <t>Câmera</t>
  </si>
  <si>
    <t>Acessório</t>
  </si>
  <si>
    <t>Sensor</t>
  </si>
  <si>
    <t>Leitor</t>
  </si>
  <si>
    <t>Fabricante</t>
  </si>
  <si>
    <t>Item</t>
  </si>
  <si>
    <t>Local</t>
  </si>
  <si>
    <t>De</t>
  </si>
  <si>
    <t>Para</t>
  </si>
  <si>
    <t>DI</t>
  </si>
  <si>
    <t>DO</t>
  </si>
  <si>
    <t>AI</t>
  </si>
  <si>
    <t>AO</t>
  </si>
  <si>
    <t>LISTA DE I/O's</t>
  </si>
  <si>
    <t>Alimentador</t>
  </si>
  <si>
    <t>CLP</t>
  </si>
  <si>
    <t>IHM</t>
  </si>
  <si>
    <t>Bancada</t>
  </si>
  <si>
    <t>Unidade</t>
  </si>
  <si>
    <t>Un.</t>
  </si>
  <si>
    <t>Hs</t>
  </si>
  <si>
    <t>Levantamento</t>
  </si>
  <si>
    <t>Lucratividade (R$)</t>
  </si>
  <si>
    <t>Custo Interno Total (R$)</t>
  </si>
  <si>
    <t>Tributos
(R$)</t>
  </si>
  <si>
    <t>Lucratividade
(%)</t>
  </si>
  <si>
    <t>Tributos
(%)</t>
  </si>
  <si>
    <t>Empresa</t>
  </si>
  <si>
    <t>Projeto mecânico</t>
  </si>
  <si>
    <t>Margem
(%)</t>
  </si>
  <si>
    <t>Custo Unitário
Sem Tributos  (R$)</t>
  </si>
  <si>
    <t>Valor Venda
Com Tributos (R$)</t>
  </si>
  <si>
    <t>Custo Total
Sem Tributos   (R$)</t>
  </si>
  <si>
    <t>Valor Total
Com Margem
Sem Tributos   (R$)</t>
  </si>
  <si>
    <t>Custo Unitário
Sem Tributos (R$)</t>
  </si>
  <si>
    <t>Custo Total
Sem Tributos (R$)</t>
  </si>
  <si>
    <t>IPI
(%)</t>
  </si>
  <si>
    <t>Cjto.</t>
  </si>
  <si>
    <t>Tributos</t>
  </si>
  <si>
    <t>Lucratividade
(R$)</t>
  </si>
  <si>
    <t>Painel Elétrico</t>
  </si>
  <si>
    <t>Identificação</t>
  </si>
  <si>
    <t>Servo</t>
  </si>
  <si>
    <t>Pneumática</t>
  </si>
  <si>
    <t>Elétrica</t>
  </si>
  <si>
    <t>Conversor</t>
  </si>
  <si>
    <t>I/O-Expansão</t>
  </si>
  <si>
    <t>Robô</t>
  </si>
  <si>
    <t>Materiais</t>
  </si>
  <si>
    <t>Serviços - Terceiros</t>
  </si>
  <si>
    <t>Total de Materiais</t>
  </si>
  <si>
    <t>Total de Serviços</t>
  </si>
  <si>
    <t>Lucratividade (%)</t>
  </si>
  <si>
    <t>Total</t>
  </si>
  <si>
    <t>Projeto</t>
  </si>
  <si>
    <t>LISTA DE MATERIAIS</t>
  </si>
  <si>
    <t>LISTA DE SERVIÇOS</t>
  </si>
  <si>
    <t>Serviços</t>
  </si>
  <si>
    <t>TOTAL DO PROJETO</t>
  </si>
  <si>
    <t>Treinamento</t>
  </si>
  <si>
    <t>Percentual (%)</t>
  </si>
  <si>
    <t>Entrega de Materiais</t>
  </si>
  <si>
    <t>FORMAS DE PAGAMENTO</t>
  </si>
  <si>
    <t>Valor da Parcela (R$)</t>
  </si>
  <si>
    <t>Custo Interno (R$)</t>
  </si>
  <si>
    <t>Documentação</t>
  </si>
  <si>
    <t>Usinagem</t>
  </si>
  <si>
    <t>Custo Total
Com IPI (R$)</t>
  </si>
  <si>
    <t>Venda Sem Margem (R$)</t>
  </si>
  <si>
    <t>Venda Com Margem (R$)</t>
  </si>
  <si>
    <t>Despesas</t>
  </si>
  <si>
    <t>Programação</t>
  </si>
  <si>
    <t>Combustível</t>
  </si>
  <si>
    <t>Pedágio</t>
  </si>
  <si>
    <t>Comercial</t>
  </si>
  <si>
    <t>Computador</t>
  </si>
  <si>
    <t>Transporte</t>
  </si>
  <si>
    <t>Montagem</t>
  </si>
  <si>
    <t>Valor Venda c/ Potencial Desconto  em Material (R$)</t>
  </si>
  <si>
    <t>Valor Venda c/ Potencial Desconto  em Serviço (R$)</t>
  </si>
  <si>
    <t>Valor Total 
Sem Tributos (R$)</t>
  </si>
  <si>
    <t>Qtde.
Recursos</t>
  </si>
  <si>
    <t>Qtde.
Utilizado</t>
  </si>
  <si>
    <t>Alimentação</t>
  </si>
  <si>
    <t>Hospedagem</t>
  </si>
  <si>
    <t>Passagem</t>
  </si>
  <si>
    <t>Aluguel de carro</t>
  </si>
  <si>
    <t>Custo</t>
  </si>
  <si>
    <t>Margem</t>
  </si>
  <si>
    <t>Arredondamento (R$)</t>
  </si>
  <si>
    <t>Função</t>
  </si>
  <si>
    <t>Embalagem</t>
  </si>
  <si>
    <t>Estrutura</t>
  </si>
  <si>
    <t>Mecânica</t>
  </si>
  <si>
    <t>Segurança</t>
  </si>
  <si>
    <t>Valor Venda</t>
  </si>
  <si>
    <t>Qtde.
Total</t>
  </si>
  <si>
    <t>Valor Venda c/ Comissões (R$)</t>
  </si>
  <si>
    <t>Comissão</t>
  </si>
  <si>
    <t>Valor</t>
  </si>
  <si>
    <t>Vendas</t>
  </si>
  <si>
    <t>Engenharia</t>
  </si>
  <si>
    <t>Parceiros</t>
  </si>
  <si>
    <t>Potencial Desconto</t>
  </si>
  <si>
    <t>Material</t>
  </si>
  <si>
    <t>Servico</t>
  </si>
  <si>
    <t>Lucratividade</t>
  </si>
  <si>
    <t>Soma</t>
  </si>
  <si>
    <t>Valor Material</t>
  </si>
  <si>
    <t>Valor Serviço</t>
  </si>
  <si>
    <t>Custos e Comissão</t>
  </si>
  <si>
    <t>Custo Automação</t>
  </si>
  <si>
    <t>Custo Terceiros</t>
  </si>
  <si>
    <t>Relação Renda (%)</t>
  </si>
  <si>
    <t>Redist. Serviço</t>
  </si>
  <si>
    <t>Redist. Material</t>
  </si>
  <si>
    <t>Comissão Material</t>
  </si>
  <si>
    <t>Comissão Serviço</t>
  </si>
  <si>
    <t xml:space="preserve"> </t>
  </si>
  <si>
    <t>Detalhamento do serviço - estudo preliminar estagiário</t>
  </si>
  <si>
    <t>Programação de Robô - Programador Junior</t>
  </si>
  <si>
    <t>Programação de Robô - Programador Sênior</t>
  </si>
  <si>
    <t xml:space="preserve">Aceitação - Pedido Compras </t>
  </si>
  <si>
    <t>Projeto Executivo</t>
  </si>
  <si>
    <t>Start up e Documentação</t>
  </si>
  <si>
    <t>Microterminal</t>
  </si>
  <si>
    <t>Parafusadeira</t>
  </si>
  <si>
    <t>Projeto Mecânico</t>
  </si>
  <si>
    <t>Projeto Elétrico</t>
  </si>
  <si>
    <t>M. Obici</t>
  </si>
  <si>
    <t>Estudo e Pré-projeto Mecânico</t>
  </si>
  <si>
    <t>Visita Técnica - Levantamento de Dados</t>
  </si>
  <si>
    <t>Pré-projeto - Estudos de definição do escopo</t>
  </si>
  <si>
    <t>Programação de IHM Offline - Programador Sênior</t>
  </si>
  <si>
    <t>Programação de IHM Offline - Programador Junior</t>
  </si>
  <si>
    <t>Programação de CLP Offline - Programador Sênior</t>
  </si>
  <si>
    <t>Programação de CLP Offline - Programador Junior</t>
  </si>
  <si>
    <t>Programação de Servo Motor Offline - Programador Sênior</t>
  </si>
  <si>
    <t>Programação de Servo Motor Offline - Programador Junior</t>
  </si>
  <si>
    <t>Programação de SW Supervisório - Programador Sênior</t>
  </si>
  <si>
    <t>Programação de SW Supervisório - Programador Junior</t>
  </si>
  <si>
    <t>Programação de Aplicativo Dedicado - Programador Junior</t>
  </si>
  <si>
    <t>Programação de Visão - Programador Sênior</t>
  </si>
  <si>
    <t>Programação de Visão - Programador Junior</t>
  </si>
  <si>
    <t>Comissionamento e Start-up - No cliente ou em terceiros</t>
  </si>
  <si>
    <t>Acompanhamento de Produção</t>
  </si>
  <si>
    <t>Montagem de Painel Elétrico - Interno</t>
  </si>
  <si>
    <t>Montagem Mecânica - Interno</t>
  </si>
  <si>
    <t>Montagem e Instalação Elétrica e Mecânica - No cliente</t>
  </si>
  <si>
    <t>Documentação Referente a Aplicação</t>
  </si>
  <si>
    <t>Treinamento de Manutenção para 4 pessoas</t>
  </si>
  <si>
    <t>Treinamento de Operação para 4 pessoas</t>
  </si>
  <si>
    <t>Projeto Mecânico - Estagiário</t>
  </si>
  <si>
    <t>Projeto Elétrico - Estagiário</t>
  </si>
  <si>
    <t>Grau de 
Complexidade</t>
  </si>
  <si>
    <t>Valores Padrão</t>
  </si>
  <si>
    <t>Grau de Complexidade</t>
  </si>
  <si>
    <t>Nível Alto</t>
  </si>
  <si>
    <t>Nível Médio</t>
  </si>
  <si>
    <t>Nível Baixo</t>
  </si>
  <si>
    <t>Multiplicador</t>
  </si>
  <si>
    <t>R$ Padrão</t>
  </si>
  <si>
    <t>R$ Nível Alto</t>
  </si>
  <si>
    <t>R$ Nível Médio</t>
  </si>
  <si>
    <t>R$ Nível Baixo</t>
  </si>
  <si>
    <t>Valores Mão de Obra Conforme Nível de Complexidade</t>
  </si>
  <si>
    <t>Preencher</t>
  </si>
  <si>
    <t>Não Alterar</t>
  </si>
  <si>
    <t>Definir Grau de
Complexidade</t>
  </si>
  <si>
    <t>Programação de Aplicativo Dedicado - Programador Senior</t>
  </si>
  <si>
    <t>Programação de Aplicativo Dedicado - Programador Sênior</t>
  </si>
  <si>
    <t>DIAS</t>
  </si>
  <si>
    <t>6</t>
  </si>
  <si>
    <t>Data Registro</t>
  </si>
  <si>
    <t>Fornecedor</t>
  </si>
  <si>
    <t>Data Update</t>
  </si>
  <si>
    <t>Switch</t>
  </si>
  <si>
    <t>852-811</t>
  </si>
  <si>
    <t>Switch Industrial 5 Portas ECO 100BASE-TX, 24Vcc</t>
  </si>
  <si>
    <t>Safety Control</t>
  </si>
  <si>
    <t>Borne</t>
  </si>
  <si>
    <t>AKG 4 GNYE</t>
  </si>
  <si>
    <t>CONECTOR 4MM VD/AM P/ BARRA DE ATERRAMENTO</t>
  </si>
  <si>
    <t>MRPR</t>
  </si>
  <si>
    <t>AKG 4 BU</t>
  </si>
  <si>
    <t>CONECTOR AZUL 4MM P/ BARRA DE ATERRAMENTO</t>
  </si>
  <si>
    <t>NLS-CU 3/10 SN</t>
  </si>
  <si>
    <t xml:space="preserve">TRILHO COLETOR - NLS-CU 3/10 SN 1000MM </t>
  </si>
  <si>
    <t xml:space="preserve">PATG 1/18 </t>
  </si>
  <si>
    <t>PORTA IDENTIFICADOR, PARA CABOS: Ø 1,5 ATÉ 2,5mm Pacote com 100</t>
  </si>
  <si>
    <t>US-WMT</t>
  </si>
  <si>
    <t>CARTELA COM 70 IDENTIFICADORES PARA CABO 18x4</t>
  </si>
  <si>
    <t>Botão</t>
  </si>
  <si>
    <t>Sinalizador</t>
  </si>
  <si>
    <t>Proteção</t>
  </si>
  <si>
    <t>Antes de Buscar Materiais Sincronize os Dados</t>
  </si>
  <si>
    <t>Dados-&gt; Atualizar Tudo</t>
  </si>
  <si>
    <t>MATERIAIS</t>
  </si>
  <si>
    <t>SERVIÇOS</t>
  </si>
  <si>
    <t>Arredondamentos</t>
  </si>
  <si>
    <t>Arredondamento</t>
  </si>
  <si>
    <t>TOTAL</t>
  </si>
  <si>
    <t>Outros</t>
  </si>
  <si>
    <t>Tempo Desatualizado</t>
  </si>
  <si>
    <t>CJ1W-PD025</t>
  </si>
  <si>
    <t>FONTE PARA CJ1 24VDC 25W (5A EM 1 5VDC / 0,8A EM 24VDC)</t>
  </si>
  <si>
    <t>CJ2M-CPU31</t>
  </si>
  <si>
    <t>CLP MODULAR CJ2M COM PORTA ETHERNET/IP MEMÓRIA 5K STEPS</t>
  </si>
  <si>
    <t>CJ1W-ID211</t>
  </si>
  <si>
    <t>MÓDULO DE EXPANSÃO CJ 16 ENTRADAS DIGITAIS</t>
  </si>
  <si>
    <t>CJ1W-OC211</t>
  </si>
  <si>
    <t>MODULO DE EXPANSAO 16 SAIDAS (CONTATOS INDEPENDENTES), MAX., 2A, 250 VAC POR CONTATO, BLOCO TERMINAL (REMOVIVEL)</t>
  </si>
  <si>
    <t>CJ1W-BAT01</t>
  </si>
  <si>
    <t>CJ1W-TER01</t>
  </si>
  <si>
    <t>ACESSORIO PARA CONTROLADOR PROGRAMAVEL LINHA CJ, END COVER (TERMINADOR DO RACK), ACOMPANHA CADA CPU OU INTERFACE DE EXPANSAO</t>
  </si>
  <si>
    <t>CP1W-CF01</t>
  </si>
  <si>
    <t>INTERFACE DE COMUNICACAO PERIFERICA PARA RS-232C</t>
  </si>
  <si>
    <t>REYMASTER</t>
  </si>
  <si>
    <t>ABB</t>
  </si>
  <si>
    <t>CE4T-10R-02</t>
  </si>
  <si>
    <t>BOTÃO EMERGENCIA C/RETENCAO ( TWIST RELEASE) 2NF</t>
  </si>
  <si>
    <t>ALLEN-BRADLEY</t>
  </si>
  <si>
    <t>1762-OB16</t>
  </si>
  <si>
    <t xml:space="preserve">MODULO DE 16 SAIDAS DIGITAIS MICROLOGIX 1200     </t>
  </si>
  <si>
    <t>ELETRONOR</t>
  </si>
  <si>
    <t>I/O Expansão</t>
  </si>
  <si>
    <t>1769-ASCII</t>
  </si>
  <si>
    <t>CARTÃO 02 PORTAS SERIAIS RS232</t>
  </si>
  <si>
    <t>R1769BA</t>
  </si>
  <si>
    <t>BATERIA DE LITIO P/ REPOSICAO DO COMPACTLOGIX</t>
  </si>
  <si>
    <t>R1769IF8</t>
  </si>
  <si>
    <t>MODULO DE 8 ENTRADAS ANALOGICAS DE CORRENTE/TENSAO COMPACTLOGIX</t>
  </si>
  <si>
    <t>R1769IQ16</t>
  </si>
  <si>
    <t>MODULO 16 ENTRADAS DIGITAIS 24VCC</t>
  </si>
  <si>
    <t xml:space="preserve">R1769L30ER </t>
  </si>
  <si>
    <t>CPU COMPACTLOGIX L30ER - 1MB MEM.,2 PORTAS ETH., 16 NOS ETH, 8 EXPANSO</t>
  </si>
  <si>
    <t>R1769OW16</t>
  </si>
  <si>
    <t>MODULO DE 16 SAIDAS A RELE</t>
  </si>
  <si>
    <t>R1769PA2</t>
  </si>
  <si>
    <t>FONTE DE ALIMENTACAO 110/220VCA, 2 AMP</t>
  </si>
  <si>
    <t>BALLUF</t>
  </si>
  <si>
    <t>BCC098C</t>
  </si>
  <si>
    <t>CABO 5 METROS PUR COM CONECTOR M12</t>
  </si>
  <si>
    <t>BUS006E</t>
  </si>
  <si>
    <t>SENSOR ULTRASSÔNICO 600 A 8000MM 24VCC</t>
  </si>
  <si>
    <t>CEMAR</t>
  </si>
  <si>
    <t>902303</t>
  </si>
  <si>
    <t>QUADRO COMANDO SOBREPOR AÇO CARBONO BEGE RAL 7032 300 MM 200 MM 200 MM COM PLACA STANDARD</t>
  </si>
  <si>
    <t>DIMENSIONAL</t>
  </si>
  <si>
    <t>CORFIO</t>
  </si>
  <si>
    <t>mt.</t>
  </si>
  <si>
    <t>0105MR</t>
  </si>
  <si>
    <t>CABO FLEXÍVEL 750V 70 GRAUS CELSIUS PVC 1X1MM2 MARROM</t>
  </si>
  <si>
    <t>512065</t>
  </si>
  <si>
    <t>CABO FLEXÍVEL 750V 70 GRAUS CELSIUS PVC 1X0,50MM2 AZUL ESCURO</t>
  </si>
  <si>
    <t>517777</t>
  </si>
  <si>
    <t>CABO FLEXÍVEL 750V 70 GRAUS CELSIUS PVC/A 1X0,75MM2 AZUL ESCURO</t>
  </si>
  <si>
    <t xml:space="preserve">926830 </t>
  </si>
  <si>
    <t>CABO FLEXÍVEL 750V 70 GRAUS CELSIUS PVC 1X1MM2 AZUL ESCURO</t>
  </si>
  <si>
    <t xml:space="preserve">953994 </t>
  </si>
  <si>
    <t>CABO FLEXÍVEL 750V 70 GRAUS CELSIUS PVC/A 1X0,75MM2 MARROM</t>
  </si>
  <si>
    <t>954558</t>
  </si>
  <si>
    <t>CABO FLEXÍVEL 750V 70 GRAUS CELSIUS PVC/A 1X0,5MM2 BRANCO</t>
  </si>
  <si>
    <t>954559</t>
  </si>
  <si>
    <t>CABO FLEXÍVEL 750V 70 GRAUS CELSIUS PVC/A 1X0,5MM2 PRETO</t>
  </si>
  <si>
    <t>954562</t>
  </si>
  <si>
    <t>CABO FLEXÍVEL 750V 70 GRAUS CELSIUS PVC/A 1X0,5MM2 VERDE</t>
  </si>
  <si>
    <t>954565</t>
  </si>
  <si>
    <t>CABO FLEXÍVEL 750V 70 GRAUS CELSIUS PVC/A 1X0,5MM2 MARROM</t>
  </si>
  <si>
    <t xml:space="preserve">954566 </t>
  </si>
  <si>
    <t>CABO FLEXÍVEL 750V 70 GRAUS CELSIUS PVC/A 1X0,75MM2 BRANCO</t>
  </si>
  <si>
    <t>CABINHO PVC FLEX. 750V     0,75MM AZ ES (M)</t>
  </si>
  <si>
    <t>CABINHO PVC FLEX. 750V     0,75MM BC (M)</t>
  </si>
  <si>
    <t>DIGIMEC</t>
  </si>
  <si>
    <t>BLE-1</t>
  </si>
  <si>
    <t>INDICADOR NUMÉRICO DIGITAL BLE-1 18/30VCC</t>
  </si>
  <si>
    <t>Dutoplast</t>
  </si>
  <si>
    <t>109078B2</t>
  </si>
  <si>
    <t>CANALETA PVC Recorte Fechado 30X80X2000MM CZ</t>
  </si>
  <si>
    <t>EATON</t>
  </si>
  <si>
    <t xml:space="preserve"> NZM1/2-XV6</t>
  </si>
  <si>
    <t>PROLONGADOR 85389090</t>
  </si>
  <si>
    <t>FAZ4-C4/1</t>
  </si>
  <si>
    <t>Mini-Disjuntor Monofásico 4A - Curva C.</t>
  </si>
  <si>
    <t>FAZ-XHIN11</t>
  </si>
  <si>
    <t>MRCM-25/4/003</t>
  </si>
  <si>
    <t>NZM1-XTVD</t>
  </si>
  <si>
    <t>MANOPLA EXTERNA</t>
  </si>
  <si>
    <t>XC-303-C32-002</t>
  </si>
  <si>
    <t>CLP XC-303-C32-002</t>
  </si>
  <si>
    <t>XN-312-GW-CAN</t>
  </si>
  <si>
    <t>GATEWAY CANOPEN</t>
  </si>
  <si>
    <t>XN-322-16DIO-PD05</t>
  </si>
  <si>
    <t>MODULO C/8XED E 8XSD PNP 0.5A</t>
  </si>
  <si>
    <t>XN-322-16DI-PD</t>
  </si>
  <si>
    <t>MODULO C/16XED</t>
  </si>
  <si>
    <t>XN-322-16DO-P05</t>
  </si>
  <si>
    <t>MODULO C/16XSD PNP 0.5A</t>
  </si>
  <si>
    <t>XN-322-8AI-I</t>
  </si>
  <si>
    <t>MODULO 8 ENTRADAS ANALÓGICAS CORRENTE 0/4 a 20mA</t>
  </si>
  <si>
    <t>XV-102-B5-35MQR-10-PLC</t>
  </si>
  <si>
    <t>IHM 3.5" ETH, RS232, CAN, CLP</t>
  </si>
  <si>
    <t>XV-303-70-C00-A00-1C</t>
  </si>
  <si>
    <t>IHM 7" 2ETH, 1XRS232, 1XCAN, 1XRS485, CLP</t>
  </si>
  <si>
    <t>INDUSCABOS</t>
  </si>
  <si>
    <t>270012007</t>
  </si>
  <si>
    <t>CABO CONTROLE 500V 70 GRAUS CELSIUS PVC 12X1MM2 PRETO (METRO)</t>
  </si>
  <si>
    <t xml:space="preserve">53328 </t>
  </si>
  <si>
    <t>CABO FLEXÍVEL 750V 70 GRAUS CELSIUS PVC 1X1MM2 BRANCO</t>
  </si>
  <si>
    <t xml:space="preserve">53359 </t>
  </si>
  <si>
    <t>CABO FLEXÍVEL 750V 70 GRAUS CELSIUS PVC 1X1MM2 VERDE/AMARELO</t>
  </si>
  <si>
    <t>KAP</t>
  </si>
  <si>
    <t>M3C</t>
  </si>
  <si>
    <t>Microswitch para painel 250V 16A (NA+NF)</t>
  </si>
  <si>
    <t>KRAUS MULLER</t>
  </si>
  <si>
    <t>00079</t>
  </si>
  <si>
    <t>PRENSA CABO NYLON PG 11 C/PORCA CZ</t>
  </si>
  <si>
    <t>00102</t>
  </si>
  <si>
    <t>PRENSA CABO NYLON PG 21 C/PORCA CZ</t>
  </si>
  <si>
    <t xml:space="preserve"> MRPR0012A</t>
  </si>
  <si>
    <t>CAIXA SUPERIOR BI MANUAL</t>
  </si>
  <si>
    <t>120259</t>
  </si>
  <si>
    <t>PLAQUETA AMARELA DE IDENTIFICAÇÃO "EMERGENCIA " P/ BOTÃO - Z 224/60 -</t>
  </si>
  <si>
    <t>MCB-01</t>
  </si>
  <si>
    <t>BLOCO DE CONTATO AUXILIAR 1 NF</t>
  </si>
  <si>
    <t>MCB-10</t>
  </si>
  <si>
    <t>BLOCO DE CONTATO AUXILIAR 1 NA</t>
  </si>
  <si>
    <t>MCBH-00</t>
  </si>
  <si>
    <t>SUPORTE PARA BOTAO</t>
  </si>
  <si>
    <t xml:space="preserve">MPM2-10B </t>
  </si>
  <si>
    <t>BOTÃO DE IMPULSO TIPO COGUMELO - PRETO PARA BI-MANUAL</t>
  </si>
  <si>
    <t>MURR</t>
  </si>
  <si>
    <t>ME10472</t>
  </si>
  <si>
    <t>MEF FILTRO MONOFASICO 2 ESTAGIOS 10A</t>
  </si>
  <si>
    <t>FLUIDCENTER</t>
  </si>
  <si>
    <t>NEXANS</t>
  </si>
  <si>
    <t>N101112DBB</t>
  </si>
  <si>
    <t>PATCH CORD CAT5E RJ45   1,50M AZ</t>
  </si>
  <si>
    <t>OMRON</t>
  </si>
  <si>
    <t xml:space="preserve"> S8VK-C12024</t>
  </si>
  <si>
    <t>FONTE DE ALIM. 5A,24VDC FIXACAO EM TRILHO DIN, ALIM. 100-240VAC / 90-350VDC</t>
  </si>
  <si>
    <t>REALTEC</t>
  </si>
  <si>
    <t>BATERIA NAO RECARREGAVEL PARA CJ1M</t>
  </si>
  <si>
    <t>CJ1W-EIP21</t>
  </si>
  <si>
    <t>MODULO DE COMUNICACAO EM REDE ETHERNET IP PARA FAMILIA CJ1, TIPO 100BASE-TX E 4 MODULOS POR CPU</t>
  </si>
  <si>
    <t>CJ1W-SCU21-V1</t>
  </si>
  <si>
    <t>MÓDULO DE EXPANSÃO DUAS PORTAS RS-232C</t>
  </si>
  <si>
    <t>CP1W-16ET</t>
  </si>
  <si>
    <t>MODULO DE EXPANSAO 16 SAIDAS</t>
  </si>
  <si>
    <t>CP1W-8ER</t>
  </si>
  <si>
    <t>MODULO DE EXPANSAO 8 SAIDAS RELÉ</t>
  </si>
  <si>
    <t>CP1W-8ET</t>
  </si>
  <si>
    <t>MODULO DE EXPANSAO 8 SAIDAS</t>
  </si>
  <si>
    <t>NS5-SQ11B-V2</t>
  </si>
  <si>
    <t>HM COLORIDA 5,7", TOUCHSCREEN COM COMUNICACAO SERERIAL E ETHERNET"</t>
  </si>
  <si>
    <t>PHOENIX</t>
  </si>
  <si>
    <t xml:space="preserve"> 0811969 </t>
  </si>
  <si>
    <t>PORTA IDENTIFICADOR PARA POSTE CLIPFIX - KLM 3</t>
  </si>
  <si>
    <t xml:space="preserve"> 1206560</t>
  </si>
  <si>
    <t>PONTEIRA PARA PERFIL - NS 35/7,5 CAP</t>
  </si>
  <si>
    <t xml:space="preserve"> 3200030 </t>
  </si>
  <si>
    <t>TERMINAL TUBULAR ISOLADO - AI 1- 8 RD CENTO</t>
  </si>
  <si>
    <t xml:space="preserve"> 3200988</t>
  </si>
  <si>
    <t>TERMINAL TUBULAR DUPLO - AI-TWIN 2x1-10 RD CENTO</t>
  </si>
  <si>
    <t xml:space="preserve"> 3209523</t>
  </si>
  <si>
    <t>BORNE SIMPLES 2,5MM - CONEXÃO PUSH-IN - AZUL - PT 2,5 BU</t>
  </si>
  <si>
    <t xml:space="preserve"> FL SWITCH 1005N</t>
  </si>
  <si>
    <t>SWITCH ETHERNET REDUZIDO, CINCO PORTAS RJ45 COM 10/100 MBIT/S - FL SWITCH 1005N</t>
  </si>
  <si>
    <t>2903308</t>
  </si>
  <si>
    <t>MÓDULO DE RELÉ - RIF-2-RPT-LDP-24DC/4X21</t>
  </si>
  <si>
    <t>ATP-STTB 4</t>
  </si>
  <si>
    <t>PLACA DE SEPARAÇÃO DE CIRCUITO</t>
  </si>
  <si>
    <t>CLIPFIX 35-5</t>
  </si>
  <si>
    <t>POSTE FINAL</t>
  </si>
  <si>
    <t>D-PTV 2,5/4</t>
  </si>
  <si>
    <t>TAMPA P/ BORNE</t>
  </si>
  <si>
    <t>FBS 10-5</t>
  </si>
  <si>
    <t>JUMPER C/ 10 POLOS P/ BORNE SIMPLES E 2 NIVEIS - 2,5MM - VM</t>
  </si>
  <si>
    <t>PTV 2,5</t>
  </si>
  <si>
    <t>BORNE CONEXÃO LATERAL 2,5MM - CINZA - CONEXAO PUSH-IN - PTV 2,5</t>
  </si>
  <si>
    <t>PTV 2,5-PE</t>
  </si>
  <si>
    <t>BORNE TERRA CONEXÃO LATERAL 2,5MM - VERDE AMARELO - CONEXAO PUSH-IN - PTV 2,5-PE</t>
  </si>
  <si>
    <t>0820510</t>
  </si>
  <si>
    <t>PORTA IDENTIFICADOR, PARA CABOS: Ø 1,5 ATÉ 2,5MM - PATG 1/18 - NCM 3926.90.90</t>
  </si>
  <si>
    <t>1005266</t>
  </si>
  <si>
    <t>PORTA IDENTIFICADOR - KMK 2 - NCM 3926.90.90</t>
  </si>
  <si>
    <t>3022218</t>
  </si>
  <si>
    <t>POSTE FINAL - CLIPFIX 35 - NCM 3926.90.90</t>
  </si>
  <si>
    <t>3022276</t>
  </si>
  <si>
    <t>POSTE FINAL - CLIPFIX 35-5 - NCM 8538.90.90</t>
  </si>
  <si>
    <t>3030417</t>
  </si>
  <si>
    <t>TAMPA PARA BORNE 2,5MM - MOLA OU PUSH-IN - REF. D-ST 2,5 - NCM 8538.90.90</t>
  </si>
  <si>
    <t>3209510</t>
  </si>
  <si>
    <t>BORNE SIMPLES 2,5MM - CINZA - CONEXAO PUSH-IN REF. - PT 2,5 - NCM 8536.90.90</t>
  </si>
  <si>
    <t>3209536</t>
  </si>
  <si>
    <t>BORNE TERRA 2,5MM - CONEXÃO PUSH-IN -  PT 2,5-PE - NCM 8536.90.90</t>
  </si>
  <si>
    <t>PSMR</t>
  </si>
  <si>
    <t>LRS3524</t>
  </si>
  <si>
    <t>FONTE CHAVEADA LRS ENT 110-220VCA SAIDA 24VCC 35W 1,5A</t>
  </si>
  <si>
    <t>RS/LRS35-50-75-100</t>
  </si>
  <si>
    <t>SUPORTE FONTE LSR TRILHO CURTO</t>
  </si>
  <si>
    <t>SCHNEIDER</t>
  </si>
  <si>
    <t>ABL8RPS24050</t>
  </si>
  <si>
    <t>FONTE DE ALIMENTACAO CHAVEADA UNIVERSAL</t>
  </si>
  <si>
    <t>NUCLEOTEC</t>
  </si>
  <si>
    <t>ABLM1A24012</t>
  </si>
  <si>
    <t>FONTE DE ALIMENTACAO MODULAR 24V 1.2A</t>
  </si>
  <si>
    <t>HMISTM6400</t>
  </si>
  <si>
    <t>IHM HARMONY STM6 MODULAR DE 7 POLEGADAS</t>
  </si>
  <si>
    <t>MCSESU053FN0</t>
  </si>
  <si>
    <t>SWITCH NAO GERENCIAVEL MODICON 5 PORTAS</t>
  </si>
  <si>
    <t>TM200CE24R</t>
  </si>
  <si>
    <t>CONTROLADOR LOGICO PROGRAMAVEL 24ES R AC</t>
  </si>
  <si>
    <t xml:space="preserve">TM3DI16 </t>
  </si>
  <si>
    <t>MODULE TM3-16 INPUTS</t>
  </si>
  <si>
    <t>TM3DQ16R</t>
  </si>
  <si>
    <t>MODULO DE EXPANSAO TM3 16 SAIDAS A RELE</t>
  </si>
  <si>
    <t>XVGB3H</t>
  </si>
  <si>
    <t>Coluna Luminoza 3 cores</t>
  </si>
  <si>
    <t>XVGB4</t>
  </si>
  <si>
    <t>COL LUM PREMONT 4 COR TUBO ALUMINIO L</t>
  </si>
  <si>
    <t>SEGURIMAX</t>
  </si>
  <si>
    <t>25922</t>
  </si>
  <si>
    <t>Luminária de emergencia 60 Leds</t>
  </si>
  <si>
    <t>SICK</t>
  </si>
  <si>
    <t>RLY3-EMSS100 RELY</t>
  </si>
  <si>
    <t>Relés de segurança ReLy - 2 entradas de segurança - 1 entrada para o botão de Reset ou para o controle dos contatores (EDM) - 2 trilhas de corrente de liberação (seguros)</t>
  </si>
  <si>
    <t>SIMILAR</t>
  </si>
  <si>
    <t>TASCO</t>
  </si>
  <si>
    <t>CVT10000R72</t>
  </si>
  <si>
    <t>GRELHA + FILTRO P/ VENTILACAO PAINEL COMANDO</t>
  </si>
  <si>
    <t>CVT11003R72E</t>
  </si>
  <si>
    <t>CONJUNTO DE VENTILACAO DE PAINEL COMANDO</t>
  </si>
  <si>
    <t>TONON</t>
  </si>
  <si>
    <t xml:space="preserve">CAIXA METÁLICA EM AÇO CARBONO  200A X 300L X 120P </t>
  </si>
  <si>
    <t xml:space="preserve">CAIXA METÁLICA EM AÇO CARBONO  600A X 600L X 250P </t>
  </si>
  <si>
    <t>ZEBRA</t>
  </si>
  <si>
    <t>ZT41143-T0A0000Z</t>
  </si>
  <si>
    <t>IMPRESSORA DE ETIQUETAS ZEBRA ZT411 300DPI - USB, SERIAL RS232, BLUETOOTH E ETHERNET</t>
  </si>
  <si>
    <t>BZTECH</t>
  </si>
  <si>
    <t>SEM FABRICANTE</t>
  </si>
  <si>
    <t>3704030410</t>
  </si>
  <si>
    <t>CABO AFT BLIND. MALHA COBRE EST. 4 X 26AWG PT</t>
  </si>
  <si>
    <t>4101090510</t>
  </si>
  <si>
    <t>CABO CONTROLE VEIAS NUMER.     5 X 1,00MM 500V CL5</t>
  </si>
  <si>
    <t>4101093010</t>
  </si>
  <si>
    <t>CABO CONTROLE VEIAS NUMER. 30 X 1,00MM 500V CL5</t>
  </si>
  <si>
    <t>DESOUTTER</t>
  </si>
  <si>
    <t>AB6430</t>
  </si>
  <si>
    <t>KIT ETHERNET/IPMODULE PARAFUSADEIRA CVICII-L2</t>
  </si>
  <si>
    <t>CABINHO PVC FLEX. 750V     2,50MM PT (ROLO C/100M)</t>
  </si>
  <si>
    <t>Conector Faston</t>
  </si>
  <si>
    <t>KEYENCE</t>
  </si>
  <si>
    <t>SR-751</t>
  </si>
  <si>
    <t>OP-87226</t>
  </si>
  <si>
    <t>CABO DE CONTROLE SR-751</t>
  </si>
  <si>
    <t>OP-87361</t>
  </si>
  <si>
    <t>CABO ETHERNET SR-751</t>
  </si>
  <si>
    <t>SR-710</t>
  </si>
  <si>
    <t>N-L20</t>
  </si>
  <si>
    <t>MODULO DE COMUNICACAO ETHERNET/PROFINET SERIE SR</t>
  </si>
  <si>
    <t>NX-OC5R</t>
  </si>
  <si>
    <t>CABO PARA SERIE NX</t>
  </si>
  <si>
    <t>CJ2M-CPU33</t>
  </si>
  <si>
    <t>CLP MODULAR CJ2M COM PORTA ETHERNET/IP MEMÓRIA 20K STEPS</t>
  </si>
  <si>
    <t>CP1W-CIF11</t>
  </si>
  <si>
    <t>INTERFACE DE COMUNICACAO PERIFERICA PARA RS-422/ RS-485</t>
  </si>
  <si>
    <t>CJ1W-ID212</t>
  </si>
  <si>
    <t>MODULO DE ENTRADA DIGITAL DE ALTA VELOCIDADE COM 16 PONTOS</t>
  </si>
  <si>
    <t>NX1P2-9024DT1</t>
  </si>
  <si>
    <t>CONTROLADOR DE MAQUINAS NX1P, PORTAS DE COMUNICACAO ETHERNET</t>
  </si>
  <si>
    <t>NX1W-CIF11</t>
  </si>
  <si>
    <t>PLACA DE COMUNICACAO SERIAL PARA A SERIE NX1P</t>
  </si>
  <si>
    <t>NX-CIF210</t>
  </si>
  <si>
    <t>CARTAO COM DUAS PORTAS DE COMUNICACAO SERIAL RS-232C</t>
  </si>
  <si>
    <t>NX-PD1000</t>
  </si>
  <si>
    <t>FONTE DE ALIM. PARA CONJUNTO NX I/O</t>
  </si>
  <si>
    <t>NX-ID5442</t>
  </si>
  <si>
    <t>MODULO REMOTO DE ENTRADA DIGITAL COM 16 PONTOS DE LOGICA PNP, PARA REDE ETHERCAT</t>
  </si>
  <si>
    <t>NX-OD5256</t>
  </si>
  <si>
    <t>MODULO REMOTO DE SAIDA DIGITAL COM 16 PONTOS DE LOGICA PNP, PARA REDE ETHERCAR</t>
  </si>
  <si>
    <t>SIEMENS</t>
  </si>
  <si>
    <t>6SL32105BE311CV</t>
  </si>
  <si>
    <t>INVERSOR DE FREQUÊNCIA V20 380-480V 3AC LO:11KW 25A RFI</t>
  </si>
  <si>
    <t>6SL32550VA004BA</t>
  </si>
  <si>
    <t>PAINEL DE OPERACAO BOP P/V20 P/RJ45</t>
  </si>
  <si>
    <t>CARTAO DE MEMORIA SINAMICS 512MB</t>
  </si>
  <si>
    <t>3RV20214CA20</t>
  </si>
  <si>
    <t>DISJ. MOTOR MANOPLA ROTATIVA TAM. S0 17,00-22,00A 100KA 220VCA</t>
  </si>
  <si>
    <t>3RV29011A</t>
  </si>
  <si>
    <t>BLOCO CONTATO INNOV. 1NA+1NF P/DISJ. 3RV2 MONT. LATERAL</t>
  </si>
  <si>
    <t>3RT20262BB40</t>
  </si>
  <si>
    <t>CONTATOR TRIP. INNOV. TAM. S0 25A 24VCC MOLA</t>
  </si>
  <si>
    <t xml:space="preserve">3RH29112HA22 </t>
  </si>
  <si>
    <t>BLOCO CONTATO INNOV. P/3RH2/3RT2 2NA+2NF</t>
  </si>
  <si>
    <t>3RV29261L</t>
  </si>
  <si>
    <t>ACIONAMENTO ROTATIVO PORTA PAINEL S00.S3</t>
  </si>
  <si>
    <t>6EP1332-1SH71</t>
  </si>
  <si>
    <t>FONTE ALIMENTACAO  ESTABILIZADA MONOFASICO  TENSAO ENTRADA: 120/230 VCA | TENSAO SAIDA: 24VCC | POTENCIA SAIDA: 60 W | CORRENTE SAIDA: 2,5A</t>
  </si>
  <si>
    <t>DW</t>
  </si>
  <si>
    <t>6GK72425DX300XE0</t>
  </si>
  <si>
    <t>MÓDULO DE COMUNICAÇÃO CM1242-5 PROFIBUS SLAVE</t>
  </si>
  <si>
    <t>6ES72411AH320XB0</t>
  </si>
  <si>
    <t>MODULO COMUN CM 1241 RS232 24V 200MA</t>
  </si>
  <si>
    <t>6ES72141AG400XB0</t>
  </si>
  <si>
    <t>CONTROL CPU 14DI/2AI 10DO 24VCC 1214C</t>
  </si>
  <si>
    <t>6ES72211BH320XB0</t>
  </si>
  <si>
    <t>MODULO CLP P/S7-1200 16E DIG 24 VCA/24 VCC</t>
  </si>
  <si>
    <t>6ES72221HH320XB0</t>
  </si>
  <si>
    <t>MODULO CLP P/S7-1200 16S DIG 24 VCA/24 VCC</t>
  </si>
  <si>
    <t>6ES72314HD320XB0</t>
  </si>
  <si>
    <t>MODULO CLP P/S7-1200 4E ANALÓGICA 0-10VCC</t>
  </si>
  <si>
    <t>6ES72324HD320XB0</t>
  </si>
  <si>
    <t>MODULO SAIDA ANALOG SM 1232 4 AO 10V</t>
  </si>
  <si>
    <t>FT-H50</t>
  </si>
  <si>
    <t>SENSOR TERMICO INFRAVERMELHO (CABECOTE) 10M</t>
  </si>
  <si>
    <t>FT-50AWP</t>
  </si>
  <si>
    <t>SENSOR TERMICO INFRAVERMELHO (CONTROLADOR)</t>
  </si>
  <si>
    <t>LR-TB5000C</t>
  </si>
  <si>
    <t>SENSOR LASER SERIE LR-TB COM AMPLIFICADOR EMBUTIDO</t>
  </si>
  <si>
    <t>MOVMIX</t>
  </si>
  <si>
    <t>Plataforma Tesoura Elétrica 8 metros com frete ida e volta, 7 dias</t>
  </si>
  <si>
    <t>MOVMIX RENTAL</t>
  </si>
  <si>
    <t>NOVUS</t>
  </si>
  <si>
    <t>N1040 PR</t>
  </si>
  <si>
    <t>Controlador de temperatura microprocessado, 24VCC</t>
  </si>
  <si>
    <t>IVO SOBERAY</t>
  </si>
  <si>
    <t xml:space="preserve"> 2907945</t>
  </si>
  <si>
    <t>Multimedidor de Energia Modbus TCP EEM-MA770</t>
  </si>
  <si>
    <t>2277653</t>
  </si>
  <si>
    <t>Transfomador de Corrente 500A-5A PACT MCR-V2-3015-60-500-5A-1</t>
  </si>
  <si>
    <t xml:space="preserve"> 2TAZ662014R2000</t>
  </si>
  <si>
    <t xml:space="preserve"> 2CNM519150R0500</t>
  </si>
  <si>
    <t>TRANSFORMADOR DE CORRENTE 500/5 - TC TAB-78 500/5 - ABB</t>
  </si>
  <si>
    <t>KRON</t>
  </si>
  <si>
    <t>Z36KSD5.C.1.5.2.0.2</t>
  </si>
  <si>
    <t>Multimedidor KS-3000 - Split core 300A - WIFI+RS-485 Sem entrada e sem saida - com display</t>
  </si>
  <si>
    <t>TKM REPRESENTAÇÕES</t>
  </si>
  <si>
    <t>Z36KSD5.D.1.5.2.0.2</t>
  </si>
  <si>
    <t>Multimedidor KS-3000 - Split core 600A - WIFI+RS-485 Sem entrada e sem saida</t>
  </si>
  <si>
    <t>Z314815.5.1.2.11.7</t>
  </si>
  <si>
    <t>Multimedidor de Grand. Elétricas KONECT com split core - 300A saida: RS-485 +ETHERNET+WIFI</t>
  </si>
  <si>
    <t>Z314815.D.1.2.11.7</t>
  </si>
  <si>
    <t>Multimedidor de Grand. Elétricas KONECT com split core - 600A saida: RS-485 +ETHERNET+WIFI</t>
  </si>
  <si>
    <t>DELL</t>
  </si>
  <si>
    <t>OptiPlex 3090 windows</t>
  </si>
  <si>
    <t xml:space="preserve">OptiPlex 3090 Small Desktop Windows 10 Pro, core i5 (6-core, cache de 12MB, até 4.5GHz), Memória de 8GB DDR4, hd 1TB 7200RPM, SATA 3.5” </t>
  </si>
  <si>
    <t>OptiPlex 3090 linux</t>
  </si>
  <si>
    <t xml:space="preserve">OptiPlex 3090 Small Desktop Linux, core i5 (6-core, cache de 12MB, até 4.5GHz), Memória de 8GB DDR4, hd 1TB 7200RPM, SATA 3.5” </t>
  </si>
  <si>
    <t>ELIPSE</t>
  </si>
  <si>
    <t>E3 Server 300</t>
  </si>
  <si>
    <t>E3 Server 1000</t>
  </si>
  <si>
    <t>E3 Viewer Control</t>
  </si>
  <si>
    <t>E3 Viewer Only</t>
  </si>
  <si>
    <t>Driver Elipse GSM</t>
  </si>
  <si>
    <t>Driver Modicon Modbus Master (ASC/RTU/TCP)</t>
  </si>
  <si>
    <t>E3 OPC ServeR</t>
  </si>
  <si>
    <t>Elipse Mobile Server</t>
  </si>
  <si>
    <t>E3 Lite 500</t>
  </si>
  <si>
    <t xml:space="preserve"> Custo Takt</t>
  </si>
  <si>
    <t>Serviços - Takt</t>
  </si>
  <si>
    <t>Try Out Takt</t>
  </si>
  <si>
    <t>NCM</t>
  </si>
  <si>
    <t>ACS355-03E-05A6-4</t>
  </si>
  <si>
    <t>INVERSOR DE FREQUÊNCIA, MICROPROCESSADO, TECNOLOGIA DE CONTROLE VETORIAL SENSORLESS, 06 PULSOS. GRAU DE PROTEÇÃO IP21; CARCAÇA: R1, TENSÃO NOMINAL: 380/480V, 50/60 HZ, TRIFÁSICO, CORRENTE NOMINAL DE 5,6A (COM 150% DE SOBRECARGA DURAN NCM: 85044050</t>
  </si>
  <si>
    <t>ADVANTECH</t>
  </si>
  <si>
    <t>WISE-4050-B</t>
  </si>
  <si>
    <t xml:space="preserve"> Mód. Wirelles p/coleta e centraliz.dados 4-ch DI and 4-ch DO IoT</t>
  </si>
  <si>
    <t xml:space="preserve"> EKI-2525-BE</t>
  </si>
  <si>
    <t>5-port 10/100Mbps unmanaged Ethernet sw</t>
  </si>
  <si>
    <t>INBRAPE</t>
  </si>
  <si>
    <t>ABRACADEIRA TIPO D CHAVETA GALV ELETR. 3/4"</t>
  </si>
  <si>
    <t>ABRACADEIRA TIPO D PARAFUSO GALV ELETR. 1"</t>
  </si>
  <si>
    <t>73269090</t>
  </si>
  <si>
    <t>CMFR1801</t>
  </si>
  <si>
    <t>ABRACADEIRA TIPO D PARAFUSO GALV ELETR. 3/4"</t>
  </si>
  <si>
    <t>Disjuntor</t>
  </si>
  <si>
    <t>5TW0 048-8</t>
  </si>
  <si>
    <t>Acionamento rotativo direto com travamento por cadeado anel amarelo e punho vermelho</t>
  </si>
  <si>
    <t>IL ETH BK-PAC</t>
  </si>
  <si>
    <t>ACOPLADOR DE BUS - REMOTA - MODBUS/TCP SEM ENTRADAS E SAÍDAS - IL ETH BK-PAC - NCM8538.90.10</t>
  </si>
  <si>
    <t>WAGO</t>
  </si>
  <si>
    <t xml:space="preserve">027911 </t>
  </si>
  <si>
    <t>ACOPLADOR MODBUS/TCP 4ª GERAÇÃO ECO NCM: 85389010</t>
  </si>
  <si>
    <t>DAKOL</t>
  </si>
  <si>
    <t>NA-9189</t>
  </si>
  <si>
    <t>Adaptador de Rede MODBUS - TCP/IP : - Protocolo MODBUS - TCP/IP - Topologia de Rede: Escravo - Quantidade de Módulos de I/O: até 32- Velocidade de Comunicação: 10/100 Mbps - Alimentação: 24 VDC</t>
  </si>
  <si>
    <t>Sinalização</t>
  </si>
  <si>
    <t>3SB6210-7AB10-1AA0</t>
  </si>
  <si>
    <t>Alarme sonoro tom contínuo monobloco preto</t>
  </si>
  <si>
    <t>IV2-G30F</t>
  </si>
  <si>
    <t>AMPLIFICADOR DO SENSOR, MODO  PADRAO/APRENDIZAGEM</t>
  </si>
  <si>
    <t>6NH98601AA00</t>
  </si>
  <si>
    <t>ANT 794-4MR ANTENA</t>
  </si>
  <si>
    <t>6GK58956ML000AA</t>
  </si>
  <si>
    <t>ANTENA IRC ANT895-6ML</t>
  </si>
  <si>
    <t>Antena</t>
  </si>
  <si>
    <t>ZBRA1</t>
  </si>
  <si>
    <t>ANTENA REPETIDORA 24-240VCA/VCC C/CABO 5M</t>
  </si>
  <si>
    <t>BANNER</t>
  </si>
  <si>
    <t>BWA-2O5-C</t>
  </si>
  <si>
    <t>Antenna Omni 2.4GHz 5dBI</t>
  </si>
  <si>
    <t>SENSORVILLE</t>
  </si>
  <si>
    <t>LSP20120</t>
  </si>
  <si>
    <t xml:space="preserve">ARRUELA ALUM. BSP 1 </t>
  </si>
  <si>
    <t>WETZEL</t>
  </si>
  <si>
    <t>ARA15</t>
  </si>
  <si>
    <t>ARRUELA ALUM. BSP 3/4"</t>
  </si>
  <si>
    <t>Cento</t>
  </si>
  <si>
    <t>ARRUELA ZINC. LISA 1/4"</t>
  </si>
  <si>
    <t>PVD225Q</t>
  </si>
  <si>
    <t>BARREIRA DE VERIFICAÇÃO DE PEÇAS Sensor Fotoelétrico</t>
  </si>
  <si>
    <t>BLOCO DE CONTATO 1NA + 1NF PARA FAZ, PKNM EATON</t>
  </si>
  <si>
    <t>3270203</t>
  </si>
  <si>
    <t>Bornes fusíveis - PTC 4-HESILED 24 (5X20)</t>
  </si>
  <si>
    <t>3SB6133-0DB50-1BA0</t>
  </si>
  <si>
    <t>Botão de Comando Sinalizado Azul 1NA 22mm</t>
  </si>
  <si>
    <t>3SB6130-0AB30-1BA0</t>
  </si>
  <si>
    <t>Botão de Impulso Amarelo 1 NA 22mm</t>
  </si>
  <si>
    <t>ZB5RTA5</t>
  </si>
  <si>
    <t>BOTAO PLASTICO WIRELESS C/PASTILHA AMARELO</t>
  </si>
  <si>
    <t>ZB5RTA6</t>
  </si>
  <si>
    <t>BOTAO PLASTICO WIRELESS C/PASTILHA AZUL</t>
  </si>
  <si>
    <t>ZB5RTA3</t>
  </si>
  <si>
    <t>BOTAO PLASTICO WIRELESS C/PASTILHA VERDE</t>
  </si>
  <si>
    <t>ZB5RTA4</t>
  </si>
  <si>
    <t>BOTAO PLASTICO WIRELESS C/PASTILHA VERMELHO</t>
  </si>
  <si>
    <t>AGM003</t>
  </si>
  <si>
    <t>BUCHA ALUM. BSP 1"</t>
  </si>
  <si>
    <t>BUCHA PVC CZ S 6 - 06</t>
  </si>
  <si>
    <t>IV2-G500MA</t>
  </si>
  <si>
    <t>CABECA DO SENSOR DE VISAO TIPO MONOCROMATICO</t>
  </si>
  <si>
    <t>CABINHO PVC FLEX. 750V 0,75MM AZUL</t>
  </si>
  <si>
    <t>CABINHO PVC FLEX. 750V 0,75MM MARRON</t>
  </si>
  <si>
    <t>OP-88678</t>
  </si>
  <si>
    <t>CABO COM CONECTOR PARA LEITOR DE CODIGO 1D E 2D (2M)</t>
  </si>
  <si>
    <t>Metro</t>
  </si>
  <si>
    <t>Cabo Controle 4x0,75mm² 1kv PVC Preto</t>
  </si>
  <si>
    <t>Cabo Controle 4x1,0mm² 1kv PVC Preto</t>
  </si>
  <si>
    <t>CABO CONTROLE VEIAS NUMER. 7 X 1,00MM 500V CL5 - 4101090710</t>
  </si>
  <si>
    <t>OP-87904(IV)</t>
  </si>
  <si>
    <t>CABO DA CABECA SENSORA (5 METROS)</t>
  </si>
  <si>
    <t>NQ-P8B2</t>
  </si>
  <si>
    <t>CABO DE ALIMENTACAO DE FIO SOLTO FEMEA M12 DE 2 M</t>
  </si>
  <si>
    <t xml:space="preserve">OP-87906(IV) </t>
  </si>
  <si>
    <t>CABO DE E/S</t>
  </si>
  <si>
    <t>clp</t>
  </si>
  <si>
    <t xml:space="preserve"> RS232- CB1</t>
  </si>
  <si>
    <t>Cabo de programação RS-232 RJ11 com Adaptador DB9 para linha SAMBA/VISION / M91</t>
  </si>
  <si>
    <t>OP-88086</t>
  </si>
  <si>
    <t>CABO ETHERNET</t>
  </si>
  <si>
    <t>OP-87230</t>
  </si>
  <si>
    <t xml:space="preserve">CABO ETHERNET </t>
  </si>
  <si>
    <t>OP-88451</t>
  </si>
  <si>
    <t>CABO ETHERNET M12 MACHO M12 MACHO 0,3 M</t>
  </si>
  <si>
    <t>6XV18755LH50</t>
  </si>
  <si>
    <t>CABO FLEX. C/CONECTOR MACHO/MACHO SMA P/ANTENA SCALANCE W 5M</t>
  </si>
  <si>
    <t>CABO MULTIPOLAR EPR 1KV 90° 5 X 2,50MM</t>
  </si>
  <si>
    <t>Caixa</t>
  </si>
  <si>
    <t>XALD04</t>
  </si>
  <si>
    <t>Caixa p/botoeira 4 furos</t>
  </si>
  <si>
    <t>E020040380</t>
  </si>
  <si>
    <t>Caixa Passagem Cinza 300x220x148 Mm Termoplástico</t>
  </si>
  <si>
    <t>3SB6813-0AA10-0BA0</t>
  </si>
  <si>
    <t>Caixa Plástica IP65 com 3 pontos de comando</t>
  </si>
  <si>
    <t>6ES79548LL030AA</t>
  </si>
  <si>
    <t xml:space="preserve">CARTAO DE MEMORIA 256MB P/S7-1X00 </t>
  </si>
  <si>
    <t>6ES79548LC030AA</t>
  </si>
  <si>
    <t>CARTAO DE MEMORIA 4MB P/S7-1X00</t>
  </si>
  <si>
    <t>6ES79538LF310AA</t>
  </si>
  <si>
    <t>CARTAO DE MEMORIA 64KB P/S7-300/C7/ET 200 3.3V NFLASH</t>
  </si>
  <si>
    <t>MEMORY-SDU-A1</t>
  </si>
  <si>
    <t>Cartão de memória industrial 2GB (Memory card)   </t>
  </si>
  <si>
    <t>6SL30544AG002AA0</t>
  </si>
  <si>
    <t>5TW3 020-22</t>
  </si>
  <si>
    <t>Cheve Seccionadora, Montagem Frontal</t>
  </si>
  <si>
    <t>XC-303-C21-001</t>
  </si>
  <si>
    <t>CLP - XC-303-C21-001 2 ETH</t>
  </si>
  <si>
    <t>EASY-E4-AC-12RC1</t>
  </si>
  <si>
    <t>CLP 8ED, 4SD rele 100-240Vca/Vcc CONTROLADOR LOGICO PROGRAMAVEL DA SERIE EASYE4 DA MARCA EATON, 
REFERENCIA EASY-E4-AC-12RC1 COM DISPLAY, 8 ENTRADAS DIGITAIS, INTERFACE ETHERNET E ALIMENTAÇÃO EM 100-240Vca/Vcc</t>
  </si>
  <si>
    <t>EASY-E4-AC-12RCX1</t>
  </si>
  <si>
    <t>CLP 8ED, 4SD rele 100-240Vca/Vcc CONTROLADOR LOGICO PROGRAMAVEL DA SERIE EASYE4 DA MARCA EATON, 
REFERENCIA EASY-E4-AC-12RC1, 8 ENTRADAS DIGITAIS, INTERFACE ETHERNET E ALIMENTAÇÃO EM 100-240Vca/Vcc</t>
  </si>
  <si>
    <t>EASY-E4-UC-12RC1</t>
  </si>
  <si>
    <t>CLP 8ED, 4SD relé 12/24Vcc ou 24Vca CONTROLADOR LOGICO PROGRAMAVEL DA SERIE EASYE4 DA MARCA EATON,
 REFERENCIA EASY-E4-UC-12RC1 COM 8 ENTRADAS DIGITAIS E ALIMENTAÇÃO EM 12/24 VDC OU 24 VAC</t>
  </si>
  <si>
    <t>EASY-E4-UC-12RCX1</t>
  </si>
  <si>
    <t>CLP 8ED, 4SD relé 12/24Vcc ou 24Vca CONTROLADOR LOGICO PROGRAMAVEL DA SERIE EASYE4 DA MARCA EATON,
 REFERENCIA EASY-E4-UC-12RX1 COM 8 ENTRADAS DIGITAIS, INTERFACE ETHERNET E ALIMENTAÇÃO EM 12/24 VDC OU 24 VAC</t>
  </si>
  <si>
    <t>EASY-E4-DC-12TCX1</t>
  </si>
  <si>
    <t>CLP 8ED, 4SD transistor 24Vcc CONTROLADOR LOGICO PROGRAMAVEL DA SERIE EASYE4 DA MARCA EATON,
 REFERENCIA EASY-E4-DC-12CX1 COM 8 ENTRADAS DIGITAIS, INTERFACE ETHERNET E ALIMENTAÇÃO EM 24 VDC</t>
  </si>
  <si>
    <t>EASY-E4-DC-12TC1</t>
  </si>
  <si>
    <t>CLP 8ED, 4SD transistor 24Vcc CONTROLADOR LOGICO PROGRAMAVEL DA SERIE EASYE4 DA MARCA EATON,
 REFERENCIA EASY-E4-DC-12TC1 COM DISPLAY, 8 ENTRADAS DIGITAIS, INTERFACE ETHERNET E ALIMENTAÇÃO EM 24 VDC</t>
  </si>
  <si>
    <t>FL055- 0808N-S1</t>
  </si>
  <si>
    <t>CLP com 8 entradas digitais bi-direcionais. 8 saidas digitais transistor (npn), 1 Ethernet. 2 portas seriais (1xRS232/RS485. 1xRS485). 1 USB</t>
  </si>
  <si>
    <t>US10-B10- T24</t>
  </si>
  <si>
    <t>CLP com IHM Incorporada UniStream 10" Built-In PRO, Display TFT LCD 10.1" (16:9) touch 1024x600 (WVGA)- 10 Entradas Digitais (pnp/npn), 02 Entradas Analógicas (0-20mA/4- 20mA/0-10VDC) - 12 Saídas a Transistor (pnp) - 02 Saídas PWM* -</t>
  </si>
  <si>
    <t>M91-2- UN2</t>
  </si>
  <si>
    <t>CLP com IHM incorporada: Display 2x16,12 Entradas digitais (pnp) incluindo 2 entradas rápidas (10 kHz), 2 Entradas analógicas (0-10V, 0-20mA, 4-20mA), 2 Entradas PT100/Termopar, 12 Saídas Digitais (pnp) incluindo 2 Saídas Rápidas (2 kHz) ,Programação: Software U90 Ladder , Memória de aplicação: 36kb ,Telas: 80 ,Teclado: 15 teclas,Programação: RS232 ,Redes: RS232 e RS485 ,SMS (através de modem GSM externo) ,IP65 Frontal,Certificações CE/UL ,Cabo de programação RS232/USB excluso</t>
  </si>
  <si>
    <t>SM43-J- TA22</t>
  </si>
  <si>
    <t>CLP com IHM incorporada: Display 4.3" touch 480x272 - 12 Entradas Digitais (pnp/npn), 02 Entradas Digitais/Analógicas* (0-20mA / 4- 20mA / 0-10VDC) - 02 Entradas Digitais/PT100/TC** - 08 Saídas Digitais (transistor), 02 Saídas Analógicas (0-10V, 4-20mA), Relógio em Tempo Real - Programação através de Software com Lógica Ladder - SEM CUSTO , Memória: Lógica - 112kb / Imagens - 1MB /Fontes - 512k - Portas: Ethernet. RS232. RS485. C</t>
  </si>
  <si>
    <t>V700-T20BJ</t>
  </si>
  <si>
    <t>CLP com IHM incorporada: Display 7" touch 800 x 480, 1 x RS232/485 , 1 x Ethernet,Comunicação Modbus, CANbus (Opcional),IP66 Frontal,Até 1024 telas configuráveis, Memória: 2Mb</t>
  </si>
  <si>
    <t>Torre</t>
  </si>
  <si>
    <t>XVGB4SW</t>
  </si>
  <si>
    <t>COLUNA LUM. LED 4 ELEM. CONT VM/AM/VD/AZ 24VCA/VCC BASE FIX DIRETA IP42</t>
  </si>
  <si>
    <t>CONDULETE ALUM. BSP C/TP TIPO E 3/4" IP54</t>
  </si>
  <si>
    <t xml:space="preserve">XPW15 </t>
  </si>
  <si>
    <t>CONDULETE ALUM. POLIWETZEL S/TP TIPO X 3/4" C/2 TAMPOES S/PINTURA</t>
  </si>
  <si>
    <t>CONDULETE ALUM. S/R S/TP TIPO C 1</t>
  </si>
  <si>
    <t>12120030</t>
  </si>
  <si>
    <t>CONDULETE ALUM. S/R S/TP TIPO C 3/4"</t>
  </si>
  <si>
    <t>CONDULETE ALUM. S/R S/TP TIPO E 1 "</t>
  </si>
  <si>
    <t>12030031</t>
  </si>
  <si>
    <t xml:space="preserve">CONDULETE ALUM. S/R S/TP TIPO E 3/4" </t>
  </si>
  <si>
    <t xml:space="preserve">12040031 </t>
  </si>
  <si>
    <t xml:space="preserve">CONDULETE ALUM. S/R S/TP TIPO LB 3/4" </t>
  </si>
  <si>
    <t>CONDULETE ALUM. S/R S/TP TIPO LL 1"</t>
  </si>
  <si>
    <t>76090000</t>
  </si>
  <si>
    <t>12050031</t>
  </si>
  <si>
    <t>CONDULETE ALUM. S/R S/TP TIPO LL 3/4"</t>
  </si>
  <si>
    <t>ARA20</t>
  </si>
  <si>
    <t>CONDULETE ALUM. S/R S/TP TIPO LR 1"</t>
  </si>
  <si>
    <t>12060031</t>
  </si>
  <si>
    <t>CONDULETE ALUM. S/R S/TP TIPO LR 3/4"</t>
  </si>
  <si>
    <t>CONDULETE ALUM. S/R S/TP TIPO T 1"</t>
  </si>
  <si>
    <t xml:space="preserve">12070031 </t>
  </si>
  <si>
    <t>CONDULETE ALUM. S/R S/TP TIPO T 3/4"</t>
  </si>
  <si>
    <t>6ES75921AM000XB</t>
  </si>
  <si>
    <t>CONECTOR FRONTAL PARAFUSO 35MM CONECTOR FRONTAL PARAFUSO 35MM</t>
  </si>
  <si>
    <t>LSP20115</t>
  </si>
  <si>
    <t>CONECTOR POLIWETZEL MULTIPLO S/PINT. ALUM. S/R 3/4"</t>
  </si>
  <si>
    <t>G9SP-N20S</t>
  </si>
  <si>
    <t>CONTR.LOGICO PROGRAM. DE SEGURANCA,20 ENT,8 SAI SEG,6 SAI TESTE</t>
  </si>
  <si>
    <t xml:space="preserve"> eXware 703</t>
  </si>
  <si>
    <t>Controlador IIoT (Internet Industrial das Coisas): - JMobile Runtime - Gateway de Comunicação (+50 Protocolos) - JM4Web (IHM Web com interface HTML5) - Corvina CLoud (Serviço de Conectividade Remota Segura) - CLP Incorporado CODESYS V3 (Opcional) - Cliente e Servidor OPC UA , 2 x Ethernet Fisicamente Isoladas</t>
  </si>
  <si>
    <t>6ED10522CC080BA</t>
  </si>
  <si>
    <t>CONTROLADOR LOGO! 24CEO 8DI 4AI 4DO</t>
  </si>
  <si>
    <t>Curva Horizontal Lisa U PG 90º 100x50mm</t>
  </si>
  <si>
    <t>5SL1 316-7MB</t>
  </si>
  <si>
    <t>Disjuntor 3P, 16A, Curva C</t>
  </si>
  <si>
    <t>Disjuntor Residual 25A, 30mA, 3P+N</t>
  </si>
  <si>
    <t>5SV4 342-0MB</t>
  </si>
  <si>
    <t>Eletrocalha Perfurada U PG 100x50x3000mm</t>
  </si>
  <si>
    <t>ELETRODUTO GALV. FG MEDIO BSP 0,90MM 1" 3M</t>
  </si>
  <si>
    <t>GFC</t>
  </si>
  <si>
    <t>ELETRODUTO GALV. FG PESADO BSP NBR5624 1,50MM 3/4" 3M</t>
  </si>
  <si>
    <t>5835-2503</t>
  </si>
  <si>
    <t>ELETRODUTO ZINCADO LEVE BSP 1" BARRA 3 METROS</t>
  </si>
  <si>
    <t>73063000</t>
  </si>
  <si>
    <t>6ES71936AR000AA</t>
  </si>
  <si>
    <t>ET 200SP ADAPTADOR BUS BA 2XRJ45 SOQUETE P/PROFINET</t>
  </si>
  <si>
    <t>6ES71936BP000BA</t>
  </si>
  <si>
    <t>ET 200SP BASE P/MOD. A0 BU15-P16+A0+2B</t>
  </si>
  <si>
    <t>6ES71936BP000DA</t>
  </si>
  <si>
    <t>ET 200SP BASE P/MOD. A0 BU15-P16+A0+2D</t>
  </si>
  <si>
    <t>6ES71346HB000CA</t>
  </si>
  <si>
    <t>ET 200SP MOD. ENT. ANALOG. 2 AI I - PADRAO 2/4 16BITS 39MA BASE A0 A1 HF</t>
  </si>
  <si>
    <t>6ES71346JD000CA</t>
  </si>
  <si>
    <t>ET 200SP MOD. ENT. ANALOG. 4 AI I RTD/TC - PADRAO 2/3/4 16BITS 35MA BASE A0 A1</t>
  </si>
  <si>
    <t>6ES71316BH010BA</t>
  </si>
  <si>
    <t>ET 200SP MOD. ENT. DIG. 16 DI 24VCC STANDARD P/BU-TIPO A0</t>
  </si>
  <si>
    <t>6ES71556AU010BN</t>
  </si>
  <si>
    <t>ET 200SP MOD. INTERFACE PROFINET IM155-6 PN P/MAX. 32 MOD. E/S 16 MOD.ET200AL</t>
  </si>
  <si>
    <t>6ES71326BH010BA</t>
  </si>
  <si>
    <t>ET 200SP MOD. SAI. 16 DQ 24VCC/0,5A STANDARD</t>
  </si>
  <si>
    <t>CODIGRAF</t>
  </si>
  <si>
    <t>Etiquetas em adesivo vinil branco impressão digital</t>
  </si>
  <si>
    <t>OP-87899</t>
  </si>
  <si>
    <t>FILTRO POLARIZADOR</t>
  </si>
  <si>
    <t>FITA ISOLANTE 18,00MM X 20M PT</t>
  </si>
  <si>
    <t>Fonte</t>
  </si>
  <si>
    <t>ABL2REM24065K</t>
  </si>
  <si>
    <t>FONTE CHAVEADA EASY MODICON ENT 100-240VCA SAI. 24VCC 150W 6,5A</t>
  </si>
  <si>
    <t xml:space="preserve"> MQR120-24F</t>
  </si>
  <si>
    <t>Fonte de Alimentação 24VDC, 5A: Entrada - Tensão: 96~264 VAC - Frequência: 47/63 Hz - Corrente AC:2.25A/115VAC - 1.3A/230VAC Saída - Tensão DC: 24 VDC - Corrente: 5A - Potência: 120W -</t>
  </si>
  <si>
    <t>EASY400-POW</t>
  </si>
  <si>
    <t>FONTE easy - EASY400-POW 24Vcc 1,25A</t>
  </si>
  <si>
    <t>6EP33316SB000AY</t>
  </si>
  <si>
    <t>FONTE LOGO! MONO. 100-240VCA 24VCC/1,3A</t>
  </si>
  <si>
    <t>6EP33326SB000AY</t>
  </si>
  <si>
    <t>FONTE LOGO! MONO. 100-240VCA 24VCC/2,5A</t>
  </si>
  <si>
    <t>DX80G2M6S-P8</t>
  </si>
  <si>
    <t>Gateway Wireless</t>
  </si>
  <si>
    <t>DX80G2M6S-PB2</t>
  </si>
  <si>
    <t>DXM700-B1R4</t>
  </si>
  <si>
    <t>Gateway Wireless c/Ethernet</t>
  </si>
  <si>
    <t>DXM100-B1R3</t>
  </si>
  <si>
    <t>XV-102-H4-35TQRL-10</t>
  </si>
  <si>
    <t>IHM - XV-102-H4-35TQRL-10  3,5"  (SOMENTE IHM)</t>
  </si>
  <si>
    <t>XV-102-H4-70TWRL-10</t>
  </si>
  <si>
    <t>IHM - XV-102-H4-70TWRL-10  7"  (SOMENTE IHM)</t>
  </si>
  <si>
    <t>BLEB/2</t>
  </si>
  <si>
    <t>Indicador numérico BCD (0..9) 24Vcc, 2x Digitos multiplexados</t>
  </si>
  <si>
    <t>SG-TL70-Y</t>
  </si>
  <si>
    <t>Indicador TL70 Amarelo</t>
  </si>
  <si>
    <t>SG-TL70-B</t>
  </si>
  <si>
    <t>Indicador TL70 Azul</t>
  </si>
  <si>
    <t>SG-TL70-AP</t>
  </si>
  <si>
    <t>Indicador TL70 sonoro</t>
  </si>
  <si>
    <t>SG-TL70-G</t>
  </si>
  <si>
    <t>Indicador TL70 Verde</t>
  </si>
  <si>
    <t>SG-TL70-R</t>
  </si>
  <si>
    <t>Indicador TL70 Vermelho</t>
  </si>
  <si>
    <t>CP1W-CIF41</t>
  </si>
  <si>
    <t>INTERFACE DE COMUNICACAO ETHERNET</t>
  </si>
  <si>
    <t xml:space="preserve"> ESMART 07</t>
  </si>
  <si>
    <t>Interface Homem Máquina (IHM): Display 7" (TFT Wide 16:9) colorido, : 800x480. 64K cores - touch Resistivo - CPU: ARM Cortex A8 1GHz , Memória:
4 GB (Flash) 512 MB (RAM) , 1 xEthernet e 1 Porta serial: RS-232/RS- 485/RS-422 , 1 x USB - Receita - Alarmes - Password - Alimentação: 24VDC</t>
  </si>
  <si>
    <t>XV-102-A0-35TQRB-1E4</t>
  </si>
  <si>
    <t>INTERFACE HOMEM-MAQUINA PARA PROCESSAMENTO DE DADOS COM SAÍDA POR DISPLAY COLORIDO
 COMUNICACAO ETHERNET COM TAMANHO DE 3.5 POLEGADAS, ALIMENTACAO 24VCC</t>
  </si>
  <si>
    <t>6SL32430BB301PA3</t>
  </si>
  <si>
    <t>INVERSOR 24V 0,5A SINAMICS CU230P-2 DP</t>
  </si>
  <si>
    <t xml:space="preserve"> ATV610U55N4</t>
  </si>
  <si>
    <t>INVERSOR 3F 380-460V 12,7A 7,5CV</t>
  </si>
  <si>
    <t>ATV610D11N4</t>
  </si>
  <si>
    <t>INVERSOR 3F 380-460V 23,5A 15CV ATV610</t>
  </si>
  <si>
    <t>ATV610D15N4</t>
  </si>
  <si>
    <t>INVERSOR 3F 380-460V 31,7A 20CV ATV610</t>
  </si>
  <si>
    <t xml:space="preserve"> ATV610D22N4</t>
  </si>
  <si>
    <t>INVERSOR 3F 380-460V 46,3A 30CV ATV610</t>
  </si>
  <si>
    <t xml:space="preserve"> ATV610U22N4</t>
  </si>
  <si>
    <t>INVERSOR 3F 380-460V 5,6A 3CV ATV610</t>
  </si>
  <si>
    <t>6SL32101NE213AG1</t>
  </si>
  <si>
    <t>INVERSOR 3F 380-480V 13,2A 7,5CV RFI G120P</t>
  </si>
  <si>
    <t>WEG</t>
  </si>
  <si>
    <t>CFW700B17P0T4DB20</t>
  </si>
  <si>
    <t>INVERSOR 3F 380-480V 17A 10CV</t>
  </si>
  <si>
    <t>6SL32101NE226UG1</t>
  </si>
  <si>
    <t>INVERSOR 3F 380-480V 26A 15CV G120P</t>
  </si>
  <si>
    <t xml:space="preserve"> 6SL32101NE232UG1</t>
  </si>
  <si>
    <t>INVERSOR 3F 380-480V 32A 20CV G120P</t>
  </si>
  <si>
    <t>CFW700C38P0T4DB20</t>
  </si>
  <si>
    <t>INVERSOR 3F 380-480V 38A 25CV</t>
  </si>
  <si>
    <t>6SL32101NE158UG1</t>
  </si>
  <si>
    <t>INVERSOR 3F 380-480V 5,9A 3CV G120P</t>
  </si>
  <si>
    <t>IF7.5G-T4- 10C</t>
  </si>
  <si>
    <t>Inversor de Frequência 10 CV (7,5KW): - Entrada 380VAC Trifásico</t>
  </si>
  <si>
    <t>ACS355-03E-31A0-4</t>
  </si>
  <si>
    <t>INVERSOR DE FREQUÊNCIA, MICROPROCESSADO, TECNOLOGIA DE CONTROLE VETORIAL SENSORLESS, 06 PULSOS. GRAU DE PROTEÇÃO G273IP21; CARCAÇA: R4, TENSÃO NOMINAL: 380/480V, 50/60 HZ, TRIFÁSICO, CORRENTE NOMINAL DE 31,0A (COM 150% DE SOBRECARGA DURA NCM: 85044050</t>
  </si>
  <si>
    <t>ACS355-03E-12A5-4</t>
  </si>
  <si>
    <t>INVERSOR DE FREQUÊNCIA, MICROPROCESSADO, TECNOLOGIA DE CONTROLE VETORIAL SENSORLESS, 06 PULSOS. GRAU DE PROTEÇÃO IP21; CARCAÇA: R3, TENSÃO NOMINAL: 380/480V, 50/60 HZ, TRIFÁSICO, CORRENTE NOMINAL DE 12,5A (COM 150% DE SOBRECARGA DURA NCM: 85044050</t>
  </si>
  <si>
    <t>ACS355-03E-23A1-4</t>
  </si>
  <si>
    <t>INVERSOR DE FREQUÊNCIA, MICROPROCESSADO, TECNOLOGIA DE CONTROLE VETORIAL SENSORLESS, 06 PULSOS. GRAU DE PROTEÇÃO IP21; CARCAÇA: R3, TENSÃO NOMINAL: 380/480V, 50/60 HZ, TRIFÁSICO, CORRENTE NOMINAL DE 23,1A (COM 150% DE SOBRECARGA DURA NCM: 85044050</t>
  </si>
  <si>
    <t>ACS355-03E-44A0-4</t>
  </si>
  <si>
    <t>INVERSOR DE FREQUÊNCIA, MICROPROCESSADO, TECNOLOGIA DE CONTROLE VETORIAL SENSORLESS, 06 PULSOS. GRAU DE PROTEÇÃO IP21; CARCAÇA: R4, TENSÃO NOMINAL: 380/480V, 50/60 HZ, TRIFÁSICO, CORRENTE NOMINAL DE 44A (COM 150% DE SOBRECARGA DURANT NCM: 85044050</t>
  </si>
  <si>
    <t>NA-9373</t>
  </si>
  <si>
    <t>IO Programável : - Protocolo MODBUS - TCP/IP. RTU - Topologia de Rede: Mestre/ Escravo - Software de Programação - CODESYS V3.5 SP3 Patch 1</t>
  </si>
  <si>
    <t>3036916</t>
  </si>
  <si>
    <t>JUMPER C/ 10 POLOS P/ BORNE SIMPLES E 2 NIVEIS AZUL - FBS 10-5</t>
  </si>
  <si>
    <t>3030213</t>
  </si>
  <si>
    <t>JUMPER C/ 10 POLOS P/ BORNE SIMPLES E 2 NIVEIS VERMELHO - FBS 10-5</t>
  </si>
  <si>
    <t>Junção telescópica Int. Lisa PG 150x100mm 50</t>
  </si>
  <si>
    <t>SR-X100W</t>
  </si>
  <si>
    <t>LEITOR OPTICO DE CODIGO 1D E  2D COM FOCO AUTOMATICO DE AMPLA DE 1,4 M PIXEL</t>
  </si>
  <si>
    <t>LEITOR PARA CODIGO BIDIMENSIONAL 2D 70 mm × 45 mm</t>
  </si>
  <si>
    <t>LEITOR PARA CODIGO BIDIMENSIONAL 2D 752 × 480 pixels</t>
  </si>
  <si>
    <t>6GK71771MA200AA</t>
  </si>
  <si>
    <t>LOGO 7!8! MOD. COMUNICACAO CSM12/24 ETHERNET WITH10/100 MBIT/S 4 RJ45</t>
  </si>
  <si>
    <t>6ED10554MH080BA</t>
  </si>
  <si>
    <t>LOGO 8! IHM TD TEXT DISPLAY 6 LINHAS PROG. LOGO!SOFT CONFORT. V8.0</t>
  </si>
  <si>
    <t>6GK71427BX000AX</t>
  </si>
  <si>
    <t>LOGO 8! MOD. COMUNICACAO CMR2020 ETHERNET GSM/GPRS 1 X RJ45 2 X DI/2 X DO 10/100 MBIT/S</t>
  </si>
  <si>
    <t>6ED10551NB100BA</t>
  </si>
  <si>
    <t>LOGO 8! MOD. EXPANSAO DM16 24R PU/I/O: 24VCC/24VCC/RELE 8 DI/8 DO 4TE</t>
  </si>
  <si>
    <t>6ED10551HB000BA</t>
  </si>
  <si>
    <t>LOGO 8! MOD. EXPANSAO DM8 24R PU/I/O:24V/24V/RELE 2TE 4 DI/4 DO AC/DC/NPN</t>
  </si>
  <si>
    <t>6ED10521HB080BA</t>
  </si>
  <si>
    <t>LOGO 8! PROGRAMADOR 24RCE 8DI 4DO 400 BLOCKS C/DISPLAY</t>
  </si>
  <si>
    <t>6BK17000BA200AA</t>
  </si>
  <si>
    <t>LOGO! CMK2000 MÓDULO DE COMUNICAÇÃO KNX</t>
  </si>
  <si>
    <t xml:space="preserve">BUA20 </t>
  </si>
  <si>
    <t>LUVA RETA ALUM. S/R S/VEDACAO 1"</t>
  </si>
  <si>
    <t xml:space="preserve">12020031 </t>
  </si>
  <si>
    <t>LUVA RETA ALUM. S/R S/VEDACAO 3/4"</t>
  </si>
  <si>
    <t xml:space="preserve">RHT-WM </t>
  </si>
  <si>
    <t>MEDIDOR DE TEMPERATURA E HUMIDADE RHT-WM - SAIDAS 4 A 20MA, 24VCC</t>
  </si>
  <si>
    <t>CP1W-ME05M</t>
  </si>
  <si>
    <t>MEMÓRIA CASSETE P/ CP1</t>
  </si>
  <si>
    <t>5SL1 110-7MB</t>
  </si>
  <si>
    <t>Mini Disjuntor 1P 10A curva C</t>
  </si>
  <si>
    <t>5SL1 102-7MB</t>
  </si>
  <si>
    <t>Mini disjuntor 1P 2A curva C</t>
  </si>
  <si>
    <t>MMF02</t>
  </si>
  <si>
    <t>MOD MEMORIA FLASH CFW700 P/INVERS MMF02</t>
  </si>
  <si>
    <t>000604</t>
  </si>
  <si>
    <t>MÓDULO 16 SAÍDAS DIGITAIS 24VCC. FILTRO 0.2MS NCM: 85389010</t>
  </si>
  <si>
    <t>EASY-E4-DC-4PE1</t>
  </si>
  <si>
    <t>Modulo c/4EA de PT100 PLACA DE CIRCUITO IMPRESSO MONTADA COM COMPONENTES ELETRICOS/ELETRONICOS,
 MODULO ANALOGICO DE ENTRADA E SAIDA PARA CONTROLADOR LOGICO PROGRAMAVEL, COM 4 ENTRADAS</t>
  </si>
  <si>
    <t>EASY-E4-DC-6AE1</t>
  </si>
  <si>
    <t>Modulo c/4EA e 2SA tensao/corrente PLACA DE CIRCUITO IMPRESSO MONTADA COM COMPONENTES ELETRICOS/ELETRONICOS,
 MODULO ANALOGICO DE ENTRADA E SAIDA PARA CONTROLADOR LOGICO PROGRAMAVEL, COM 4 ENTRADAS E 2 SAIDAS</t>
  </si>
  <si>
    <t>EASY-E4-DC-8TE1</t>
  </si>
  <si>
    <t>Modulo c/4ED e 4SD transistor MODULO DE EXPANSAO PARA CONTROLE DE TRANSISTORES, COM 4 ENTRADAS DIGITAIS E 4 SAIDAS DIGITAIS, 
PROPRIO PARA USO EM CONJUNTO COM CONTROLADOR LOGICO PROGRAMAVEL</t>
  </si>
  <si>
    <t>EASY-E4-AC-8RE1</t>
  </si>
  <si>
    <t>Modulo c/4ED e 4SD transistor MODULO DE EXPANSAO PARA CONTROLE DE TRANSISTORES, COM 8 ENTRADAS DIGITAIS E 8 SAIDAS DIGITAIS, 
PROPRIO PARA USO EM CONJUNTO COM CONTROLADOR LOGICO PROGRAMAVEL</t>
  </si>
  <si>
    <t>EASY-E4-AC-16RE1</t>
  </si>
  <si>
    <t>Modulo c/8ED e 8SD rele MODULO DE EXPANSAO PARA CONTROLE DE RELES, COM 8 ENTRADAS DIGITAIS E 8 SAIDAS DIGITAIS, PROPRIO PARA USO EM CONJUNTO COM CONTROLADOR LOGICO PROGRAMAVEL</t>
  </si>
  <si>
    <t>EASY-E4-DC-16TE1</t>
  </si>
  <si>
    <t>Modulo c/8ED e 8SD transistor MODULO DE EXPANSAO PARA CONTROLE DE TRANSISTORES, COM 8 ENTRADAS DIGITAIS E 8 SAIDAS DIGITAIS, 
PROPRIO PARA USO EM CONJUNTO COM CONTROLADOR LOGICO PROGRAMAVEL</t>
  </si>
  <si>
    <t>6GK71427EX000AX</t>
  </si>
  <si>
    <t>MÓDULO DE COMUNICAÇÃO LOGO! CMR2040</t>
  </si>
  <si>
    <t>IB IL 24 DI-PAC</t>
  </si>
  <si>
    <t>MODULO DE ENTRADA DIGITAL - IB IL 24 DI 16-PAC - NCM 8538.90.90</t>
  </si>
  <si>
    <t xml:space="preserve">000600 </t>
  </si>
  <si>
    <t>MÓDULO DE ENTRADA DIGITAL DE 16 CANAIS, 24 V DC, 3 MS, CINZA CLARO NCM: 85389010</t>
  </si>
  <si>
    <t>ST-121F</t>
  </si>
  <si>
    <t>Módulo de Entrada Digital: - Número de Entradas: 16 pontos - Tipo de Entrada: PNP - Corrente Max.: 6mA</t>
  </si>
  <si>
    <t>FLD0800</t>
  </si>
  <si>
    <t>Módulo de I/O com 8 entradas digitais</t>
  </si>
  <si>
    <t>FLD0008R</t>
  </si>
  <si>
    <t>Módulo de I/O com 8 saidas digitais a relé</t>
  </si>
  <si>
    <t>FIOA-0402- U-B</t>
  </si>
  <si>
    <t>Módulo de I/O remoto com 4 entradas analógicas universais. 2 saidas analógicas. RS485. Modbus RTU. Alimentação 24VDC</t>
  </si>
  <si>
    <t>FIOD-0808- P-B</t>
  </si>
  <si>
    <t>Módulo de I/O remoto com 8 entradas digitais. 8 saidas digitais transistor (pnp), RS485. Modbus RTU. Alimentação 24VDC</t>
  </si>
  <si>
    <t>6SL32101PE227UL</t>
  </si>
  <si>
    <t>MODULO DE POTENCIA G120 PM240-2 TRIF. 380-480VCA 15,00CV 26,00A S/FILTRO</t>
  </si>
  <si>
    <t>6SL32101PE233UL</t>
  </si>
  <si>
    <t>MODULO DE POTENCIA G120 PM240-2 TRIF. 380-480VCA 20,00CV 32,00A S/FILTRO</t>
  </si>
  <si>
    <t>6SL32101PE161UL</t>
  </si>
  <si>
    <t>MODULO DE POTENCIA G120 PM240-2 TRIF. 380-480VCA 3,00CV 5,90A S/FILTRO</t>
  </si>
  <si>
    <t>6SL32101PE245UL</t>
  </si>
  <si>
    <t>MODULO DE POTENCIA G120 PM240-2 TRIF. 380-480VCA 30,00CV 45,00A S/FILTRO</t>
  </si>
  <si>
    <t>6SL32101PE260AL</t>
  </si>
  <si>
    <t>MODULO DE POTENCIA G120 PM240-2 TRIF. 380-480VCA 40,00CV 60,00A C/FILTRO</t>
  </si>
  <si>
    <t>6SL32101PE214AL</t>
  </si>
  <si>
    <t>MODULO DE POTENCIA G120 PM240-2 TRIF. 380-480VCA 7,50CV 13,20A C/FILTRO</t>
  </si>
  <si>
    <t>2900299</t>
  </si>
  <si>
    <t>Módulo de relé - PLC-RPT- 24DC/21</t>
  </si>
  <si>
    <t>2903334</t>
  </si>
  <si>
    <t>Módulo de relé - RIF-1-RPT-LDP-24DC/2X21</t>
  </si>
  <si>
    <t>IB IL 24 DO 16-PAC</t>
  </si>
  <si>
    <t>MODULO DE SAIDA DIGITAL - IB IL 24 DO 16-PAC - NCM 8538.90.10</t>
  </si>
  <si>
    <t>ST-222F</t>
  </si>
  <si>
    <t>Módulo de Saída Digital: - Número de Saídas: 16 pontos - Tipo de Saída: PNP - Corrente Max.: 0.5A/ponto -</t>
  </si>
  <si>
    <t>ST-2748</t>
  </si>
  <si>
    <t>Módulo de Saída Digital: - Número de Saídas: 8 pontos - Tipo de Saída: Relé - Corrente Max.: 2A/ponto</t>
  </si>
  <si>
    <t>000674</t>
  </si>
  <si>
    <t>MÓDULO FINAL NCM: 85389010</t>
  </si>
  <si>
    <t xml:space="preserve">000676 </t>
  </si>
  <si>
    <t xml:space="preserve">MÓDULO FONTE PASSIVO 24 VDC NCM: 85389010 </t>
  </si>
  <si>
    <t>NQ-IL8P</t>
  </si>
  <si>
    <t>MODULO IO COMPATIVEL COM IO-LINK</t>
  </si>
  <si>
    <t>NQ-EC8L</t>
  </si>
  <si>
    <t xml:space="preserve">MODULO IO-LINK MESTRE COMPATIVEL COM 8 PORTAS ETHERCAT </t>
  </si>
  <si>
    <t>FPBA-01</t>
  </si>
  <si>
    <t>MODULO PROFIBUS NCM: 85049040</t>
  </si>
  <si>
    <t>6SL32550AA005AA</t>
  </si>
  <si>
    <t>MODULO SMART P/SINAMICS G120</t>
  </si>
  <si>
    <t>M1M 20</t>
  </si>
  <si>
    <t xml:space="preserve">MULTIMEDIDOR DE GRANDEZAS ELETRICAS M1M 20, SEM COMUNICACAO, ENTRADA P/ TC 1A OU 5A, PADRAO IEC_x0002_61557-12, ALIMENTACAO 100..230VAC/DC, MEDICAO 85..265VAC (L-N), FIXACAO EM PORTA DE PAINEL, DIMENSOES 96X96X85MM </t>
  </si>
  <si>
    <t xml:space="preserve">MULTIMEDIDOR M1M 20 ETHERNET AUX 100-230 V AC - INPUT 80-265 VAC(L-N) 400V (L-L) - M1M 20 ETHERNET </t>
  </si>
  <si>
    <t>DX80N2X6S-P8</t>
  </si>
  <si>
    <t>Node Wireless</t>
  </si>
  <si>
    <t>DX80N2X6S-PB2</t>
  </si>
  <si>
    <t>ACS-CP-C</t>
  </si>
  <si>
    <t>PAINEL DE CONTROLE BÁSICO, VENDIDO SEPARADO, PARA INVERSORES ACS355/550 NCM: 85049040</t>
  </si>
  <si>
    <t>6SL32550AA004CA1</t>
  </si>
  <si>
    <t>PAINEL DE OPERACAO BOP P/G120/G120C</t>
  </si>
  <si>
    <t>902324</t>
  </si>
  <si>
    <t>Painel Elétrico 800x600x250 (AxLxP) Cinza 7032, com placa de montagem Laranja e fecho fenda</t>
  </si>
  <si>
    <t>EASYSOFT-SWLIC</t>
  </si>
  <si>
    <t>PAPEL IMPRESSO COM LICENÇA DE USO DE SOFTWARE EASYSOFT VERSÃO 7 DA EATON</t>
  </si>
  <si>
    <t>PARAFUSO ZINC. CAB. CHATA PHILIPS 4,2 X 32MM</t>
  </si>
  <si>
    <t xml:space="preserve">PARAFUSO ZINC. CAB. LENTILHA TRAVANTE 1/4 X 1/2" </t>
  </si>
  <si>
    <t>MAIS ACRILICOS</t>
  </si>
  <si>
    <t>PLACA ACO INOX 150X150MM</t>
  </si>
  <si>
    <t>VW3A3607</t>
  </si>
  <si>
    <t>PLACA COMUNIC 12 MBIT/S PROFIBUS DP</t>
  </si>
  <si>
    <t>Plaquetas em acrílico cristal 2 x 0 cor preto cantos arredondados 10x25x2mm c/adesivo 3M9767 dados variáveis - Plaqueta Botão</t>
  </si>
  <si>
    <t>Plaquetas em acrílico cristal 2 x 0 cor preto cantos arredondados 79x65x2mm c/adesivo 3M9767</t>
  </si>
  <si>
    <t>Plaquetas em alumínio anodizado 3 x 0 cor preto cantos retos 100x100x0,5mm c/adesivo 3M9767</t>
  </si>
  <si>
    <t>REMO CARGA</t>
  </si>
  <si>
    <t>Plataforma Tesoura 8 Metros 1 Semana + Frete</t>
  </si>
  <si>
    <t>PLATAFORMA TESOURA 8M ELÉTRICA 15 DIAS - JLG + FRETE</t>
  </si>
  <si>
    <t>MILLS</t>
  </si>
  <si>
    <t>Plataforma Tesoura Elétrica 8 metros 1930 ES com frete ida e volta, 10 dias</t>
  </si>
  <si>
    <t>PORCA SEXT. ZINC. 1/4"</t>
  </si>
  <si>
    <t>PRENSA CABO NYLON PG 16 C/PORCA CZ</t>
  </si>
  <si>
    <t>PTL110S-FF100TD3-QP150</t>
  </si>
  <si>
    <t>PTL110S Pick-to-Light Sensor Sinalizador</t>
  </si>
  <si>
    <t>QUADRO COMANDO QCS 800 X 600 X 200 S/ FLANGE - CEMAR</t>
  </si>
  <si>
    <t>ZBRRC</t>
  </si>
  <si>
    <t>RECEPTOR PROGRAMAVEL P/BOTAO WIRELESS 24VCC</t>
  </si>
  <si>
    <t>rele</t>
  </si>
  <si>
    <t>LZS:PT5A5L24</t>
  </si>
  <si>
    <t>Relés de Interface 24Vcc 4 Reversíveis</t>
  </si>
  <si>
    <t>3RQ3118- AB00</t>
  </si>
  <si>
    <t>Reles de interface com relés extraíveis 24VCC 1 contato Reversível</t>
  </si>
  <si>
    <t>6ES79720AA020XA0</t>
  </si>
  <si>
    <t>REPETIDOR REDE PROFIBUS 24V SIMATIC DP</t>
  </si>
  <si>
    <t>UCR-ST-B8- AS</t>
  </si>
  <si>
    <t>Roteador Cat LTE 4, Carcaça de alumínio, Conectividade 2G, 3G e 4G, 4 x Ethernet (3 x LAN e 1 x WAN), 1 x RS232, 1 x RS485, 3 x Entradasdigitais, 1 x Entrada analógica 0- 24VDC/0-20mA, 2 x Saídas digitais Transistor, 1 x Saída digital Rele, 2 x Slots para Chip, 2 x Antenas mobile, 2x Antenas WiFi, 1 x Antena para GPS, 1 x USB, 1 x Botão reset, Alimentação 9 a 30 VDC, FUNCIONALIDADES:MQTT,VPN,DDNS,SMS,MODBUS Master/Slave, Conexão de Backup, Firewall, GPS</t>
  </si>
  <si>
    <t>6ES75163AN020AB</t>
  </si>
  <si>
    <t>S7 1500 CLP CPU 1516-3 PN/DP 1+5MB 10NS BITS PROFINET/PROFIBUS</t>
  </si>
  <si>
    <t>6ES75173AP000AB</t>
  </si>
  <si>
    <t>S7 1500 CLP CPU 1517-3 PN/DP 2,0MB 02NS BITS</t>
  </si>
  <si>
    <t>6ES75317KF000AB</t>
  </si>
  <si>
    <t>S7 1500 MOD. EXPANSAO ENT. ANALOG. 8 AI/U/I/RTD/TC ST 16BITS</t>
  </si>
  <si>
    <t>6ES75211BL000AB</t>
  </si>
  <si>
    <t>S7 1500 MOD. EXPANSAO ENT. DIG. 32DI 24 VCC</t>
  </si>
  <si>
    <t>6ES75325HF000AB</t>
  </si>
  <si>
    <t>S7 1500 MOD. EXPANSAO SAI. ANALOG. 8 AQ 14BITS</t>
  </si>
  <si>
    <t>6ES75221BL010AB</t>
  </si>
  <si>
    <t>S7 1500 MOD. EXPANSAO SAIDA DIG. 32DQ 24VCC 0.5A</t>
  </si>
  <si>
    <t>6ES75901AC400AA</t>
  </si>
  <si>
    <t>S7 1500 TRILHO 245MM</t>
  </si>
  <si>
    <t>6ES73152AH140AB</t>
  </si>
  <si>
    <t>S7 300 CLP CPU 315-2 DP 256KB C/INTERF. MPI/2 INTERF. DP MESTRE/ESCRAVO S/CART. MEMOR</t>
  </si>
  <si>
    <t>6ES73152EH140AB</t>
  </si>
  <si>
    <t xml:space="preserve">S7 300 CLP CPU 315-2 PN/DP 384KB C/INTERF. MPI/DP ETHERNET/PROFINET 2 SWITCH </t>
  </si>
  <si>
    <t>6ES73172EK140AB</t>
  </si>
  <si>
    <t>S7 300 CLP CPU 317-2 PN/DP 1MB C/INTERF. MPI/DP 2 INTERF. ETHERNET PROFINET</t>
  </si>
  <si>
    <t>6ES73311KF020AB</t>
  </si>
  <si>
    <t>S7 300 MOD. EXPANSAO SM 331 ENT ANALOG. OPTICA ISOLADA 8 AI 13BITS 1 X 40P PT100 66MS</t>
  </si>
  <si>
    <t>6ES73325HF000AB</t>
  </si>
  <si>
    <t>S7 300 MOD. EXPANSAO SM 332 SAI ANALOG. OPTICA ISOLADA 8 AO 11/12BITS 1 X 40P</t>
  </si>
  <si>
    <t>SEALTUBO FLEXIVEL 3/4" PRETO</t>
  </si>
  <si>
    <t>K50PFF200SQ2PS</t>
  </si>
  <si>
    <t>Sensor Sinalizador</t>
  </si>
  <si>
    <t>3SB6213-6AA30-1AA0</t>
  </si>
  <si>
    <t>Sinaleiro Amarelo 24Vcc, 22mm</t>
  </si>
  <si>
    <t>3SB6213-6AA50-1AA0</t>
  </si>
  <si>
    <t>Sinaleiro Azul 24Vcc, 22mm</t>
  </si>
  <si>
    <t>3SB6216-6AA60-1AA0</t>
  </si>
  <si>
    <t>Sinaleiro Branco 220VCA, 22mm</t>
  </si>
  <si>
    <t>3SB6213-6AA20-1AA1</t>
  </si>
  <si>
    <t>Sinaleiro Vermelho 24Vcc, 22mm</t>
  </si>
  <si>
    <t>Jmobile Package</t>
  </si>
  <si>
    <t>Software de Programação das IHM´s series 500, 700 e Esmart - 3 licenças</t>
  </si>
  <si>
    <t>404428</t>
  </si>
  <si>
    <t>SUPORTE AB/SS - NCM 8547.20.90</t>
  </si>
  <si>
    <t>OP-87910</t>
  </si>
  <si>
    <t>SUPORTE AJUSTAVEL DE MONTAGEM</t>
  </si>
  <si>
    <t xml:space="preserve">OP-88697 </t>
  </si>
  <si>
    <t>SUPORTE DE LEITOR OPTICO DE CODIGO 1D E 2D COM FOCO AUTOMATICO</t>
  </si>
  <si>
    <t>OP-87775</t>
  </si>
  <si>
    <t>SUPORTE DE MONTAGEM PARA SERIE LR-T</t>
  </si>
  <si>
    <t>B-TL70DXN2-Q8</t>
  </si>
  <si>
    <t>Suporte Torre de Aluminação Wireless 2.4GH</t>
  </si>
  <si>
    <t>Tampa Encaixe p/ Eletrocalha PG 100x3000mm</t>
  </si>
  <si>
    <t>3270100</t>
  </si>
  <si>
    <t>Tampa terminal - D-PTC 2,5-TWIN-MT</t>
  </si>
  <si>
    <t>3SB6900-0AV60</t>
  </si>
  <si>
    <t>Tampão Cego 22mm</t>
  </si>
  <si>
    <t>60284002</t>
  </si>
  <si>
    <t>TAMPAO PVC 3/4" CZ POLIWETZEL</t>
  </si>
  <si>
    <t>TERMINAL LATAO ZINCADO FEMEA FIXO BSP 1"</t>
  </si>
  <si>
    <t>CFFR1801</t>
  </si>
  <si>
    <t>TERMINAL LATAO ZINCADO MACHO FIXO C/CONTRA PORCA BSP 1"</t>
  </si>
  <si>
    <t>3200014</t>
  </si>
  <si>
    <t>Terminal tubular - AI 0,5 - 8 WH</t>
  </si>
  <si>
    <t>3200522</t>
  </si>
  <si>
    <t>Terminal tubular - AI 2,5 - 8 BU</t>
  </si>
  <si>
    <t>3200933</t>
  </si>
  <si>
    <t>Terminal tubular - AI-TWIN 2X 0,5 - 8 WH</t>
  </si>
  <si>
    <t>3200810</t>
  </si>
  <si>
    <t>Terminal tubular - AI-TWIN 2X 1 - 8 RD</t>
  </si>
  <si>
    <t>3200836</t>
  </si>
  <si>
    <t>Terminal tubular - AI-TWIN 2X 2,5 -10 BU</t>
  </si>
  <si>
    <t>WSM101</t>
  </si>
  <si>
    <t>TRANSMISSOR SERIAL RS485 SEM FIO (PA202310120)</t>
  </si>
  <si>
    <t>6SL32440BB121FA</t>
  </si>
  <si>
    <t>UNIDADE CONTROLE G120 CU240E-2 6DI 3DO 2AI 2AO PROFINET PN</t>
  </si>
  <si>
    <t>VALORES REAJUSTADOS EM JANEIRO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</si>
</sst>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R$&quot;\ #,##0.00;[Red]\-&quot;R$&quot;\ #,##0.00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0.0%"/>
    <numFmt numFmtId="166" formatCode="&quot;R$ &quot;#,##0.00"/>
  </numFmts>
  <fonts count="42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Calibri"/>
      <family val="2"/>
    </font>
    <font>
      <b/>
      <sz val="8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A50021"/>
      <name val="Calibri"/>
      <family val="2"/>
      <scheme val="minor"/>
    </font>
    <font>
      <b/>
      <sz val="10"/>
      <color rgb="FF0066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Tahoma"/>
      <family val="2"/>
    </font>
    <font>
      <sz val="14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rgb="FF0070C0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5" fillId="0" borderId="0"/>
    <xf numFmtId="0" fontId="19" fillId="0" borderId="1">
      <alignment horizontal="left" vertical="center"/>
    </xf>
    <xf numFmtId="0" fontId="19" fillId="0" borderId="1">
      <alignment horizontal="left" vertical="center"/>
    </xf>
    <xf numFmtId="0" fontId="4" fillId="0" borderId="0"/>
    <xf numFmtId="43" fontId="13" fillId="0" borderId="0" applyFont="0" applyFill="0" applyBorder="0" applyAlignment="0" applyProtection="0"/>
  </cellStyleXfs>
  <cellXfs count="201">
    <xf numFmtId="0" fontId="0" fillId="0" borderId="0" xfId="0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7" fillId="0" borderId="0" xfId="0" applyFont="1"/>
    <xf numFmtId="164" fontId="7" fillId="0" borderId="0" xfId="1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0" borderId="0" xfId="0" applyFont="1"/>
    <xf numFmtId="164" fontId="11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8" fillId="0" borderId="0" xfId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164" fontId="16" fillId="0" borderId="0" xfId="0" applyNumberFormat="1" applyFont="1" applyAlignment="1">
      <alignment horizontal="center" vertical="center"/>
    </xf>
    <xf numFmtId="9" fontId="8" fillId="0" borderId="0" xfId="2" applyFont="1" applyAlignment="1">
      <alignment horizontal="center" vertical="center"/>
    </xf>
    <xf numFmtId="164" fontId="8" fillId="0" borderId="0" xfId="1" applyFont="1" applyAlignment="1">
      <alignment vertical="center"/>
    </xf>
    <xf numFmtId="164" fontId="11" fillId="0" borderId="0" xfId="1" applyFont="1" applyAlignment="1">
      <alignment horizontal="center" vertical="center" wrapText="1"/>
    </xf>
    <xf numFmtId="164" fontId="14" fillId="0" borderId="0" xfId="1" applyFont="1" applyAlignment="1">
      <alignment horizontal="center" vertical="center"/>
    </xf>
    <xf numFmtId="164" fontId="14" fillId="0" borderId="0" xfId="1" applyFont="1" applyAlignment="1">
      <alignment vertical="center"/>
    </xf>
    <xf numFmtId="165" fontId="11" fillId="0" borderId="0" xfId="2" applyNumberFormat="1" applyFont="1" applyAlignment="1">
      <alignment horizontal="center" vertical="center" wrapText="1"/>
    </xf>
    <xf numFmtId="165" fontId="14" fillId="0" borderId="0" xfId="2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4" fontId="17" fillId="0" borderId="0" xfId="1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165" fontId="11" fillId="4" borderId="1" xfId="0" applyNumberFormat="1" applyFont="1" applyFill="1" applyBorder="1" applyAlignment="1">
      <alignment horizontal="center" vertical="center"/>
    </xf>
    <xf numFmtId="164" fontId="11" fillId="2" borderId="1" xfId="1" applyFont="1" applyFill="1" applyBorder="1" applyAlignment="1">
      <alignment horizontal="center" vertical="center"/>
    </xf>
    <xf numFmtId="165" fontId="11" fillId="2" borderId="1" xfId="2" applyNumberFormat="1" applyFont="1" applyFill="1" applyBorder="1" applyAlignment="1">
      <alignment horizontal="center" vertical="center"/>
    </xf>
    <xf numFmtId="164" fontId="11" fillId="0" borderId="0" xfId="1" applyFont="1" applyAlignment="1">
      <alignment horizontal="center" vertical="center"/>
    </xf>
    <xf numFmtId="164" fontId="11" fillId="6" borderId="1" xfId="1" applyFont="1" applyFill="1" applyBorder="1" applyAlignment="1">
      <alignment horizontal="center" vertical="center"/>
    </xf>
    <xf numFmtId="9" fontId="11" fillId="0" borderId="0" xfId="2" applyFont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9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11" fillId="0" borderId="0" xfId="2" applyFont="1" applyAlignment="1">
      <alignment horizontal="center" vertical="center" wrapText="1"/>
    </xf>
    <xf numFmtId="164" fontId="8" fillId="0" borderId="0" xfId="0" applyNumberFormat="1" applyFont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9" fontId="14" fillId="0" borderId="0" xfId="2" applyFont="1" applyAlignment="1">
      <alignment horizontal="center" vertical="center"/>
    </xf>
    <xf numFmtId="165" fontId="11" fillId="0" borderId="0" xfId="2" applyNumberFormat="1" applyFont="1" applyAlignment="1">
      <alignment horizontal="center" vertical="center"/>
    </xf>
    <xf numFmtId="0" fontId="12" fillId="0" borderId="0" xfId="0" applyFont="1" applyAlignment="1" applyProtection="1">
      <alignment vertical="center"/>
      <protection locked="0"/>
    </xf>
    <xf numFmtId="9" fontId="12" fillId="0" borderId="0" xfId="2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164" fontId="11" fillId="0" borderId="0" xfId="0" applyNumberFormat="1" applyFont="1" applyAlignment="1" applyProtection="1">
      <alignment horizontal="center" vertical="center" wrapText="1"/>
      <protection locked="0"/>
    </xf>
    <xf numFmtId="9" fontId="11" fillId="0" borderId="0" xfId="2" applyFont="1" applyAlignment="1" applyProtection="1">
      <alignment horizontal="center" vertical="center" wrapText="1"/>
      <protection locked="0"/>
    </xf>
    <xf numFmtId="9" fontId="11" fillId="0" borderId="0" xfId="0" applyNumberFormat="1" applyFont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164" fontId="7" fillId="0" borderId="0" xfId="1" applyFont="1" applyAlignment="1" applyProtection="1">
      <alignment horizontal="center" vertical="center"/>
      <protection locked="0"/>
    </xf>
    <xf numFmtId="164" fontId="8" fillId="0" borderId="0" xfId="1" applyFont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9" fontId="16" fillId="0" borderId="0" xfId="0" applyNumberFormat="1" applyFont="1" applyAlignment="1" applyProtection="1">
      <alignment horizontal="center" vertical="center"/>
      <protection locked="0"/>
    </xf>
    <xf numFmtId="164" fontId="16" fillId="0" borderId="0" xfId="0" applyNumberFormat="1" applyFont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9" fontId="8" fillId="0" borderId="0" xfId="2" applyFont="1" applyAlignment="1" applyProtection="1">
      <alignment horizontal="center" vertical="center"/>
      <protection locked="0"/>
    </xf>
    <xf numFmtId="9" fontId="8" fillId="0" borderId="0" xfId="2" applyFont="1" applyAlignment="1" applyProtection="1">
      <alignment vertical="center"/>
      <protection locked="0"/>
    </xf>
    <xf numFmtId="164" fontId="8" fillId="0" borderId="0" xfId="1" applyFont="1" applyAlignment="1" applyProtection="1">
      <alignment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164" fontId="7" fillId="0" borderId="1" xfId="1" applyFont="1" applyBorder="1" applyAlignment="1" applyProtection="1">
      <alignment horizontal="center" vertical="center"/>
      <protection locked="0"/>
    </xf>
    <xf numFmtId="0" fontId="11" fillId="0" borderId="0" xfId="1" applyNumberFormat="1" applyFont="1" applyAlignment="1">
      <alignment horizontal="center" vertical="center"/>
    </xf>
    <xf numFmtId="9" fontId="11" fillId="2" borderId="1" xfId="2" applyFont="1" applyFill="1" applyBorder="1" applyAlignment="1">
      <alignment horizontal="center" vertical="center"/>
    </xf>
    <xf numFmtId="9" fontId="19" fillId="0" borderId="1" xfId="1" applyNumberFormat="1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164" fontId="11" fillId="0" borderId="1" xfId="1" applyFont="1" applyBorder="1" applyAlignment="1">
      <alignment horizontal="center" vertical="center"/>
    </xf>
    <xf numFmtId="0" fontId="11" fillId="0" borderId="0" xfId="1" applyNumberFormat="1" applyFont="1" applyAlignment="1">
      <alignment horizontal="center" vertical="center" wrapText="1"/>
    </xf>
    <xf numFmtId="164" fontId="24" fillId="9" borderId="1" xfId="1" applyFont="1" applyFill="1" applyBorder="1" applyAlignment="1">
      <alignment horizontal="center" vertical="center"/>
    </xf>
    <xf numFmtId="0" fontId="11" fillId="7" borderId="1" xfId="1" applyNumberFormat="1" applyFont="1" applyFill="1" applyBorder="1" applyAlignment="1">
      <alignment horizontal="center" vertical="center" wrapText="1"/>
    </xf>
    <xf numFmtId="0" fontId="11" fillId="7" borderId="1" xfId="1" applyNumberFormat="1" applyFont="1" applyFill="1" applyBorder="1" applyAlignment="1">
      <alignment horizontal="left" vertical="center" wrapText="1"/>
    </xf>
    <xf numFmtId="0" fontId="11" fillId="0" borderId="0" xfId="2" applyNumberFormat="1" applyFont="1" applyAlignment="1">
      <alignment horizontal="center" vertical="center"/>
    </xf>
    <xf numFmtId="164" fontId="16" fillId="0" borderId="0" xfId="1" applyFont="1" applyAlignment="1">
      <alignment vertical="center"/>
    </xf>
    <xf numFmtId="164" fontId="16" fillId="0" borderId="0" xfId="0" applyNumberFormat="1" applyFont="1" applyAlignment="1">
      <alignment vertical="center"/>
    </xf>
    <xf numFmtId="164" fontId="11" fillId="0" borderId="0" xfId="2" applyNumberFormat="1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9" fontId="22" fillId="2" borderId="1" xfId="2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9" fontId="21" fillId="3" borderId="2" xfId="2" applyFont="1" applyFill="1" applyBorder="1" applyAlignment="1">
      <alignment horizontal="left" vertical="center" wrapText="1"/>
    </xf>
    <xf numFmtId="0" fontId="11" fillId="7" borderId="1" xfId="0" applyFont="1" applyFill="1" applyBorder="1" applyAlignment="1">
      <alignment horizontal="left" vertical="center"/>
    </xf>
    <xf numFmtId="9" fontId="16" fillId="0" borderId="0" xfId="2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6" fontId="8" fillId="0" borderId="0" xfId="2" applyNumberFormat="1" applyFont="1" applyAlignment="1">
      <alignment horizontal="center" vertical="center"/>
    </xf>
    <xf numFmtId="164" fontId="11" fillId="0" borderId="0" xfId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7" fillId="0" borderId="0" xfId="0" quotePrefix="1" applyFont="1" applyAlignment="1">
      <alignment horizontal="center" vertical="center"/>
    </xf>
    <xf numFmtId="9" fontId="16" fillId="0" borderId="0" xfId="2" applyFont="1" applyAlignment="1" applyProtection="1">
      <alignment horizontal="center" vertical="center"/>
      <protection locked="0"/>
    </xf>
    <xf numFmtId="164" fontId="16" fillId="0" borderId="0" xfId="1" applyFont="1" applyAlignment="1" applyProtection="1">
      <alignment vertical="center"/>
      <protection locked="0"/>
    </xf>
    <xf numFmtId="164" fontId="28" fillId="0" borderId="0" xfId="0" applyNumberFormat="1" applyFont="1" applyAlignment="1">
      <alignment horizontal="center" vertical="center"/>
    </xf>
    <xf numFmtId="164" fontId="29" fillId="0" borderId="0" xfId="0" applyNumberFormat="1" applyFont="1" applyAlignment="1">
      <alignment horizontal="center" vertical="center"/>
    </xf>
    <xf numFmtId="9" fontId="27" fillId="0" borderId="0" xfId="0" applyNumberFormat="1" applyFont="1" applyAlignment="1">
      <alignment horizontal="center" vertical="center"/>
    </xf>
    <xf numFmtId="164" fontId="29" fillId="0" borderId="0" xfId="1" applyFont="1" applyAlignment="1" applyProtection="1">
      <alignment horizontal="center" vertical="center"/>
      <protection locked="0"/>
    </xf>
    <xf numFmtId="164" fontId="22" fillId="2" borderId="1" xfId="1" applyFont="1" applyFill="1" applyBorder="1" applyAlignment="1">
      <alignment horizontal="center" vertical="center"/>
    </xf>
    <xf numFmtId="9" fontId="11" fillId="0" borderId="0" xfId="1" applyNumberFormat="1" applyFont="1" applyAlignment="1">
      <alignment horizontal="center" vertical="center"/>
    </xf>
    <xf numFmtId="9" fontId="21" fillId="3" borderId="2" xfId="2" applyFont="1" applyFill="1" applyBorder="1" applyAlignment="1">
      <alignment horizontal="center" vertical="center" wrapText="1"/>
    </xf>
    <xf numFmtId="9" fontId="21" fillId="0" borderId="0" xfId="2" applyFont="1" applyAlignment="1">
      <alignment horizontal="left" vertical="center" wrapText="1"/>
    </xf>
    <xf numFmtId="9" fontId="21" fillId="3" borderId="1" xfId="2" applyFont="1" applyFill="1" applyBorder="1" applyAlignment="1">
      <alignment horizontal="center" vertical="center" wrapText="1"/>
    </xf>
    <xf numFmtId="9" fontId="21" fillId="3" borderId="1" xfId="2" applyFont="1" applyFill="1" applyBorder="1" applyAlignment="1">
      <alignment horizontal="left" vertical="center" wrapText="1"/>
    </xf>
    <xf numFmtId="9" fontId="22" fillId="2" borderId="7" xfId="2" applyFont="1" applyFill="1" applyBorder="1" applyAlignment="1">
      <alignment horizontal="center" vertical="center"/>
    </xf>
    <xf numFmtId="164" fontId="22" fillId="2" borderId="7" xfId="1" applyFont="1" applyFill="1" applyBorder="1" applyAlignment="1">
      <alignment horizontal="center" vertical="center"/>
    </xf>
    <xf numFmtId="9" fontId="21" fillId="3" borderId="7" xfId="2" applyFont="1" applyFill="1" applyBorder="1" applyAlignment="1">
      <alignment horizontal="left" vertical="center" wrapText="1"/>
    </xf>
    <xf numFmtId="9" fontId="21" fillId="11" borderId="1" xfId="2" applyFont="1" applyFill="1" applyBorder="1" applyAlignment="1">
      <alignment horizontal="center" vertical="center" wrapText="1"/>
    </xf>
    <xf numFmtId="9" fontId="21" fillId="11" borderId="2" xfId="2" applyFont="1" applyFill="1" applyBorder="1" applyAlignment="1">
      <alignment horizontal="center" vertical="center" wrapText="1"/>
    </xf>
    <xf numFmtId="0" fontId="11" fillId="7" borderId="1" xfId="1" applyNumberFormat="1" applyFont="1" applyFill="1" applyBorder="1" applyAlignment="1">
      <alignment horizontal="center" vertical="center"/>
    </xf>
    <xf numFmtId="164" fontId="11" fillId="7" borderId="1" xfId="1" applyFont="1" applyFill="1" applyBorder="1" applyAlignment="1">
      <alignment horizontal="center" vertical="center"/>
    </xf>
    <xf numFmtId="164" fontId="11" fillId="7" borderId="1" xfId="2" applyNumberFormat="1" applyFont="1" applyFill="1" applyBorder="1" applyAlignment="1">
      <alignment horizontal="center" vertical="center"/>
    </xf>
    <xf numFmtId="9" fontId="11" fillId="13" borderId="1" xfId="2" applyFont="1" applyFill="1" applyBorder="1" applyAlignment="1">
      <alignment horizontal="center" vertical="center"/>
    </xf>
    <xf numFmtId="164" fontId="11" fillId="13" borderId="1" xfId="1" applyFont="1" applyFill="1" applyBorder="1" applyAlignment="1">
      <alignment horizontal="center" vertical="center"/>
    </xf>
    <xf numFmtId="164" fontId="11" fillId="13" borderId="1" xfId="2" applyNumberFormat="1" applyFont="1" applyFill="1" applyBorder="1" applyAlignment="1">
      <alignment horizontal="center" vertical="center"/>
    </xf>
    <xf numFmtId="0" fontId="11" fillId="13" borderId="1" xfId="1" applyNumberFormat="1" applyFont="1" applyFill="1" applyBorder="1" applyAlignment="1">
      <alignment horizontal="center" vertical="center"/>
    </xf>
    <xf numFmtId="164" fontId="11" fillId="10" borderId="1" xfId="1" applyFont="1" applyFill="1" applyBorder="1" applyAlignment="1">
      <alignment horizontal="center" vertical="center"/>
    </xf>
    <xf numFmtId="164" fontId="11" fillId="10" borderId="1" xfId="1" applyFont="1" applyFill="1" applyBorder="1" applyAlignment="1">
      <alignment vertical="center"/>
    </xf>
    <xf numFmtId="0" fontId="11" fillId="10" borderId="1" xfId="1" applyNumberFormat="1" applyFont="1" applyFill="1" applyBorder="1" applyAlignment="1">
      <alignment horizontal="center" vertical="center"/>
    </xf>
    <xf numFmtId="164" fontId="11" fillId="10" borderId="1" xfId="2" applyNumberFormat="1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5" fontId="22" fillId="2" borderId="1" xfId="2" applyNumberFormat="1" applyFont="1" applyFill="1" applyBorder="1" applyAlignment="1">
      <alignment horizontal="center" vertical="center"/>
    </xf>
    <xf numFmtId="165" fontId="22" fillId="2" borderId="7" xfId="2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165" fontId="11" fillId="4" borderId="1" xfId="0" applyNumberFormat="1" applyFont="1" applyFill="1" applyBorder="1" applyAlignment="1">
      <alignment horizontal="center" vertical="center" wrapText="1"/>
    </xf>
    <xf numFmtId="0" fontId="8" fillId="0" borderId="0" xfId="1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 wrapText="1"/>
      <protection locked="0"/>
    </xf>
    <xf numFmtId="0" fontId="10" fillId="0" borderId="0" xfId="1" applyNumberFormat="1" applyFont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164" fontId="8" fillId="0" borderId="0" xfId="1" applyFont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164" fontId="10" fillId="0" borderId="0" xfId="0" applyNumberFormat="1" applyFont="1" applyAlignment="1" applyProtection="1">
      <alignment horizontal="left" vertical="center"/>
      <protection locked="0"/>
    </xf>
    <xf numFmtId="49" fontId="10" fillId="0" borderId="0" xfId="1" applyNumberFormat="1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164" fontId="7" fillId="0" borderId="0" xfId="1" applyFont="1" applyAlignment="1">
      <alignment horizontal="center" vertical="center" wrapText="1"/>
    </xf>
    <xf numFmtId="49" fontId="26" fillId="0" borderId="0" xfId="1" applyNumberFormat="1" applyFont="1" applyAlignment="1" applyProtection="1">
      <alignment horizontal="left" vertical="center"/>
      <protection locked="0"/>
    </xf>
    <xf numFmtId="0" fontId="26" fillId="0" borderId="0" xfId="1" applyNumberFormat="1" applyFont="1" applyAlignment="1" applyProtection="1">
      <alignment horizontal="left" vertical="center" wrapText="1"/>
      <protection locked="0"/>
    </xf>
    <xf numFmtId="164" fontId="26" fillId="0" borderId="0" xfId="1" applyFont="1" applyAlignment="1" applyProtection="1">
      <alignment horizontal="center" vertical="center"/>
      <protection locked="0"/>
    </xf>
    <xf numFmtId="164" fontId="26" fillId="0" borderId="0" xfId="1" applyFont="1" applyAlignment="1">
      <alignment horizontal="center" vertical="center"/>
    </xf>
    <xf numFmtId="9" fontId="26" fillId="0" borderId="0" xfId="2" applyFont="1" applyAlignment="1" applyProtection="1">
      <alignment horizontal="center" vertical="center"/>
      <protection locked="0"/>
    </xf>
    <xf numFmtId="164" fontId="26" fillId="0" borderId="0" xfId="1" applyFont="1" applyAlignment="1">
      <alignment vertical="center"/>
    </xf>
    <xf numFmtId="164" fontId="26" fillId="0" borderId="0" xfId="1" applyFont="1" applyAlignment="1" applyProtection="1">
      <alignment vertical="center"/>
      <protection locked="0"/>
    </xf>
    <xf numFmtId="9" fontId="26" fillId="0" borderId="0" xfId="2" applyFont="1" applyAlignment="1">
      <alignment horizontal="center" vertical="center"/>
    </xf>
    <xf numFmtId="0" fontId="30" fillId="0" borderId="0" xfId="0" applyFont="1" applyAlignment="1" applyProtection="1">
      <alignment vertical="center"/>
      <protection locked="0"/>
    </xf>
    <xf numFmtId="164" fontId="3" fillId="0" borderId="0" xfId="1" applyFont="1" applyAlignment="1">
      <alignment vertical="center"/>
    </xf>
    <xf numFmtId="0" fontId="32" fillId="0" borderId="0" xfId="0" applyFont="1" applyAlignment="1">
      <alignment vertical="center"/>
    </xf>
    <xf numFmtId="164" fontId="7" fillId="0" borderId="0" xfId="0" applyNumberFormat="1" applyFont="1" applyAlignment="1">
      <alignment horizontal="center" vertical="center" wrapText="1"/>
    </xf>
    <xf numFmtId="164" fontId="33" fillId="0" borderId="0" xfId="0" applyNumberFormat="1" applyFont="1" applyAlignment="1">
      <alignment horizontal="center" vertical="center"/>
    </xf>
    <xf numFmtId="164" fontId="7" fillId="14" borderId="1" xfId="1" applyFont="1" applyFill="1" applyBorder="1" applyAlignment="1">
      <alignment horizontal="center" vertical="center"/>
    </xf>
    <xf numFmtId="0" fontId="7" fillId="15" borderId="1" xfId="7" applyNumberFormat="1" applyFont="1" applyFill="1" applyBorder="1" applyAlignment="1">
      <alignment horizontal="center" vertical="center"/>
    </xf>
    <xf numFmtId="0" fontId="10" fillId="0" borderId="8" xfId="0" applyFont="1" applyBorder="1" applyAlignment="1">
      <alignment horizontal="left" vertical="center" wrapText="1"/>
    </xf>
    <xf numFmtId="164" fontId="3" fillId="0" borderId="9" xfId="1" applyFont="1" applyBorder="1" applyAlignment="1">
      <alignment horizontal="center" vertical="center"/>
    </xf>
    <xf numFmtId="164" fontId="8" fillId="0" borderId="10" xfId="1" applyFont="1" applyBorder="1" applyAlignment="1">
      <alignment vertical="center"/>
    </xf>
    <xf numFmtId="0" fontId="10" fillId="0" borderId="11" xfId="0" applyFont="1" applyBorder="1" applyAlignment="1">
      <alignment horizontal="left" vertical="center" wrapText="1"/>
    </xf>
    <xf numFmtId="164" fontId="7" fillId="14" borderId="12" xfId="1" applyFont="1" applyFill="1" applyBorder="1" applyAlignment="1">
      <alignment horizontal="center" vertical="center"/>
    </xf>
    <xf numFmtId="164" fontId="8" fillId="0" borderId="13" xfId="1" applyFont="1" applyBorder="1" applyAlignment="1">
      <alignment horizontal="center" vertical="center"/>
    </xf>
    <xf numFmtId="164" fontId="8" fillId="0" borderId="13" xfId="1" applyFont="1" applyBorder="1" applyAlignment="1">
      <alignment vertical="center"/>
    </xf>
    <xf numFmtId="164" fontId="8" fillId="0" borderId="14" xfId="1" applyFont="1" applyBorder="1" applyAlignment="1">
      <alignment vertical="center"/>
    </xf>
    <xf numFmtId="0" fontId="9" fillId="0" borderId="1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 wrapText="1"/>
    </xf>
    <xf numFmtId="164" fontId="7" fillId="0" borderId="6" xfId="1" applyFont="1" applyBorder="1" applyAlignment="1">
      <alignment horizontal="center" vertical="center"/>
    </xf>
    <xf numFmtId="164" fontId="7" fillId="0" borderId="16" xfId="1" applyFont="1" applyBorder="1" applyAlignment="1">
      <alignment horizontal="center" vertical="center"/>
    </xf>
    <xf numFmtId="164" fontId="9" fillId="0" borderId="0" xfId="1" applyFont="1" applyAlignment="1">
      <alignment horizontal="center" vertical="center"/>
    </xf>
    <xf numFmtId="0" fontId="36" fillId="6" borderId="1" xfId="0" applyFont="1" applyFill="1" applyBorder="1" applyAlignment="1">
      <alignment horizontal="center" vertical="center" wrapText="1"/>
    </xf>
    <xf numFmtId="164" fontId="26" fillId="0" borderId="0" xfId="0" applyNumberFormat="1" applyFont="1" applyAlignment="1">
      <alignment vertical="center"/>
    </xf>
    <xf numFmtId="164" fontId="37" fillId="0" borderId="0" xfId="0" applyNumberFormat="1" applyFont="1" applyAlignment="1">
      <alignment vertical="center"/>
    </xf>
    <xf numFmtId="164" fontId="10" fillId="0" borderId="0" xfId="0" applyNumberFormat="1" applyFont="1" applyAlignment="1" applyProtection="1">
      <alignment horizontal="center" vertical="center"/>
      <protection locked="0"/>
    </xf>
    <xf numFmtId="164" fontId="37" fillId="0" borderId="0" xfId="0" applyNumberFormat="1" applyFont="1" applyAlignment="1" applyProtection="1">
      <alignment horizontal="center" vertical="center"/>
      <protection locked="0"/>
    </xf>
    <xf numFmtId="164" fontId="16" fillId="6" borderId="0" xfId="0" applyNumberFormat="1" applyFont="1" applyFill="1" applyAlignment="1">
      <alignment horizontal="center" vertical="center"/>
    </xf>
    <xf numFmtId="164" fontId="7" fillId="6" borderId="0" xfId="0" applyNumberFormat="1" applyFont="1" applyFill="1" applyAlignment="1">
      <alignment horizontal="center" vertical="center"/>
    </xf>
    <xf numFmtId="164" fontId="11" fillId="5" borderId="1" xfId="1" applyFont="1" applyFill="1" applyBorder="1" applyAlignment="1">
      <alignment horizontal="center" vertical="center"/>
    </xf>
    <xf numFmtId="164" fontId="2" fillId="0" borderId="0" xfId="1" applyFont="1" applyAlignment="1">
      <alignment vertical="center"/>
    </xf>
    <xf numFmtId="14" fontId="0" fillId="0" borderId="0" xfId="0" applyNumberFormat="1"/>
    <xf numFmtId="14" fontId="7" fillId="0" borderId="0" xfId="0" applyNumberFormat="1" applyFont="1" applyAlignment="1" applyProtection="1">
      <alignment horizontal="center" vertical="center"/>
      <protection locked="0"/>
    </xf>
    <xf numFmtId="8" fontId="7" fillId="0" borderId="0" xfId="1" applyNumberFormat="1" applyFont="1" applyAlignment="1" applyProtection="1">
      <alignment horizontal="center" vertical="center"/>
      <protection locked="0"/>
    </xf>
    <xf numFmtId="164" fontId="1" fillId="0" borderId="0" xfId="1" applyFont="1" applyAlignment="1" applyProtection="1">
      <alignment horizontal="center" vertical="center"/>
      <protection locked="0"/>
    </xf>
    <xf numFmtId="0" fontId="39" fillId="0" borderId="0" xfId="0" applyFont="1" applyAlignment="1">
      <alignment vertical="center"/>
    </xf>
    <xf numFmtId="0" fontId="18" fillId="8" borderId="2" xfId="0" applyFont="1" applyFill="1" applyBorder="1" applyAlignment="1">
      <alignment vertical="center"/>
    </xf>
    <xf numFmtId="0" fontId="40" fillId="0" borderId="0" xfId="1" applyNumberFormat="1" applyFont="1" applyAlignment="1">
      <alignment horizontal="center" vertical="center"/>
    </xf>
    <xf numFmtId="14" fontId="16" fillId="0" borderId="0" xfId="1" applyNumberFormat="1" applyFont="1" applyAlignment="1" applyProtection="1">
      <alignment horizontal="center" vertical="center"/>
      <protection locked="0"/>
    </xf>
    <xf numFmtId="1" fontId="16" fillId="0" borderId="0" xfId="1" applyNumberFormat="1" applyFont="1" applyAlignment="1" applyProtection="1">
      <alignment vertical="center"/>
      <protection locked="0"/>
    </xf>
    <xf numFmtId="10" fontId="22" fillId="2" borderId="7" xfId="2" applyNumberFormat="1" applyFont="1" applyFill="1" applyBorder="1" applyAlignment="1">
      <alignment horizontal="center" vertical="center"/>
    </xf>
    <xf numFmtId="10" fontId="22" fillId="2" borderId="1" xfId="2" applyNumberFormat="1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wrapText="1"/>
    </xf>
    <xf numFmtId="164" fontId="9" fillId="0" borderId="0" xfId="1" applyFont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9" fontId="11" fillId="7" borderId="2" xfId="2" applyFont="1" applyFill="1" applyBorder="1" applyAlignment="1">
      <alignment horizontal="center" vertical="center"/>
    </xf>
    <xf numFmtId="9" fontId="11" fillId="7" borderId="3" xfId="2" applyFont="1" applyFill="1" applyBorder="1" applyAlignment="1">
      <alignment horizontal="center" vertical="center"/>
    </xf>
    <xf numFmtId="164" fontId="11" fillId="13" borderId="2" xfId="1" applyFont="1" applyFill="1" applyBorder="1" applyAlignment="1">
      <alignment horizontal="center" vertical="center"/>
    </xf>
    <xf numFmtId="164" fontId="11" fillId="13" borderId="3" xfId="1" applyFont="1" applyFill="1" applyBorder="1" applyAlignment="1">
      <alignment horizontal="center" vertical="center"/>
    </xf>
    <xf numFmtId="0" fontId="11" fillId="12" borderId="2" xfId="1" applyNumberFormat="1" applyFont="1" applyFill="1" applyBorder="1" applyAlignment="1">
      <alignment horizontal="center" vertical="center"/>
    </xf>
    <xf numFmtId="0" fontId="11" fillId="12" borderId="5" xfId="1" applyNumberFormat="1" applyFont="1" applyFill="1" applyBorder="1" applyAlignment="1">
      <alignment horizontal="center" vertical="center"/>
    </xf>
    <xf numFmtId="0" fontId="11" fillId="12" borderId="3" xfId="1" applyNumberFormat="1" applyFont="1" applyFill="1" applyBorder="1" applyAlignment="1">
      <alignment horizontal="center" vertical="center"/>
    </xf>
    <xf numFmtId="164" fontId="9" fillId="0" borderId="0" xfId="1" applyFont="1" applyAlignment="1">
      <alignment vertical="center"/>
    </xf>
  </cellXfs>
  <cellStyles count="8">
    <cellStyle name="ColStyle2" xfId="4" xr:uid="{00000000-0005-0000-0000-000000000000}"/>
    <cellStyle name="ColStyle5" xfId="5" xr:uid="{00000000-0005-0000-0000-000001000000}"/>
    <cellStyle name="Moeda" xfId="1" builtinId="4"/>
    <cellStyle name="Normal" xfId="0" builtinId="0"/>
    <cellStyle name="Normal 5" xfId="3" xr:uid="{00000000-0005-0000-0000-000004000000}"/>
    <cellStyle name="Normal 5 2" xfId="6" xr:uid="{00000000-0005-0000-0000-000005000000}"/>
    <cellStyle name="Porcentagem" xfId="2" builtinId="5"/>
    <cellStyle name="Vírgula" xfId="7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A50021"/>
      </font>
      <fill>
        <patternFill>
          <bgColor rgb="FFFFCCCC"/>
        </patternFill>
      </fill>
    </dxf>
    <dxf>
      <font>
        <b/>
        <i val="0"/>
        <color rgb="FF006600"/>
      </font>
      <fill>
        <patternFill>
          <bgColor rgb="FFCCFFCC"/>
        </patternFill>
      </fill>
    </dxf>
    <dxf>
      <font>
        <b/>
        <i val="0"/>
        <color rgb="FF006600"/>
      </font>
      <fill>
        <patternFill>
          <bgColor rgb="FFCCFFCC"/>
        </patternFill>
      </fill>
    </dxf>
    <dxf>
      <font>
        <b/>
        <i val="0"/>
        <color rgb="FFA50021"/>
      </font>
      <fill>
        <patternFill>
          <bgColor rgb="FFFFCCCC"/>
        </patternFill>
      </fill>
    </dxf>
    <dxf>
      <font>
        <b/>
        <i val="0"/>
        <color rgb="FFA50021"/>
      </font>
      <fill>
        <patternFill>
          <bgColor rgb="FFFFCCCC"/>
        </patternFill>
      </fill>
    </dxf>
    <dxf>
      <font>
        <b/>
        <i val="0"/>
        <color rgb="FF006600"/>
      </font>
      <fill>
        <patternFill>
          <bgColor rgb="FFCCFFCC"/>
        </patternFill>
      </fill>
    </dxf>
    <dxf>
      <font>
        <b/>
        <i val="0"/>
        <color rgb="FF006600"/>
      </font>
      <fill>
        <patternFill>
          <bgColor rgb="FFCCFFCC"/>
        </patternFill>
      </fill>
    </dxf>
    <dxf>
      <font>
        <b/>
        <i val="0"/>
        <color rgb="FFA50021"/>
      </font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A50021"/>
      </font>
      <fill>
        <patternFill>
          <bgColor rgb="FFFFCCCC"/>
        </patternFill>
      </fill>
    </dxf>
    <dxf>
      <font>
        <b/>
        <i val="0"/>
        <color rgb="FF006600"/>
      </font>
      <fill>
        <patternFill>
          <bgColor rgb="FFCCFFCC"/>
        </patternFill>
      </fill>
    </dxf>
    <dxf>
      <font>
        <b/>
        <i val="0"/>
        <color rgb="FF006600"/>
      </font>
      <fill>
        <patternFill>
          <bgColor rgb="FFCCFFCC"/>
        </patternFill>
      </fill>
    </dxf>
    <dxf>
      <font>
        <b/>
        <i val="0"/>
        <color rgb="FFA50021"/>
      </font>
      <fill>
        <patternFill>
          <bgColor rgb="FFFF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3" formatCode="0%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numFmt numFmtId="164" formatCode="_(&quot;R$ &quot;* #,##0.00_);_(&quot;R$ &quot;* \(#,##0.00\);_(&quot;R$ 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0" relativeIndent="0" justifyLastLine="0" shrinkToFit="0" readingOrder="0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3" formatCode="0%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5" formatCode="0.0%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numFmt numFmtId="164" formatCode="_(&quot;R$ &quot;* #,##0.00_);_(&quot;R$ &quot;* \(#,##0.00\);_(&quot;R$ &quot;* &quot;-&quot;??_);_(@_)"/>
      <protection locked="1" hidden="0"/>
    </dxf>
    <dxf>
      <protection locked="1" hidden="0"/>
    </dxf>
    <dxf>
      <numFmt numFmtId="164" formatCode="_(&quot;R$ &quot;* #,##0.00_);_(&quot;R$ &quot;* \(#,##0.00\);_(&quot;R$ &quot;* &quot;-&quot;??_);_(@_)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relative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relativeIndent="0" justifyLastLine="0" shrinkToFit="0" readingOrder="0"/>
      <protection locked="1" hidden="0"/>
    </dxf>
    <dxf>
      <protection locked="1" hidden="0"/>
    </dxf>
    <dxf>
      <protection locked="1" hidden="0"/>
    </dxf>
    <dxf>
      <font>
        <b val="0"/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alignment horizontal="general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3" formatCode="0%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indent="0" justifyLastLine="0" shrinkToFit="0" readingOrder="0"/>
    </dxf>
    <dxf>
      <numFmt numFmtId="16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indent="0" justifyLastLine="0" shrinkToFit="0" readingOrder="0"/>
    </dxf>
    <dxf>
      <font>
        <b val="0"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164" formatCode="_(&quot;R$ &quot;* #,##0.00_);_(&quot;R$ &quot;* \(#,##0.00\);_(&quot;R$ &quot;* &quot;-&quot;??_);_(@_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_(&quot;R$ &quot;* #,##0.00_);_(&quot;R$ &quot;* \(#,##0.00\);_(&quot;R$ &quot;* &quot;-&quot;??_);_(@_)"/>
      <alignment horizontal="general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center" vertical="center" textRotation="0" wrapText="1" relativeIndent="0" justifyLastLine="0" shrinkToFit="0" readingOrder="0"/>
      <protection locked="0" hidden="0"/>
    </dxf>
    <dxf>
      <fill>
        <patternFill>
          <fgColor auto="1"/>
          <bgColor theme="9" tint="0.59996337778862885"/>
        </patternFill>
      </fill>
    </dxf>
    <dxf>
      <fill>
        <patternFill>
          <fgColor auto="1"/>
          <bgColor theme="9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3" defaultTableStyle="TableStyleMedium2" defaultPivotStyle="PivotStyleLight16">
    <tableStyle name="Full Time" pivot="0" count="8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  <tableStyleElement type="secondColumnStripe" dxfId="164"/>
    </tableStyle>
    <tableStyle name="Invisible" pivot="0" table="0" count="0" xr9:uid="{D68515A3-DA53-47EA-8515-1353C3B7A130}"/>
    <tableStyle name="MySqlDefault" pivot="0" table="0" count="2" xr9:uid="{E37C1642-1166-463A-AC01-02420157182E}">
      <tableStyleElement type="wholeTable" dxfId="163"/>
      <tableStyleElement type="headerRow" dxfId="162"/>
    </tableStyle>
  </tableStyles>
  <colors>
    <mruColors>
      <color rgb="FFFFCCCC"/>
      <color rgb="FFA50021"/>
      <color rgb="FFCCFFCC"/>
      <color rgb="FF006600"/>
      <color rgb="FFCCECFF"/>
      <color rgb="FF336600"/>
      <color rgb="FF008000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checked="Checked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checked="Checked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104775</xdr:rowOff>
        </xdr:from>
        <xdr:to>
          <xdr:col>2</xdr:col>
          <xdr:colOff>323850</xdr:colOff>
          <xdr:row>2</xdr:row>
          <xdr:rowOff>142875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 TODOS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</xdr:row>
          <xdr:rowOff>104775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UTILIZADOS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942975</xdr:colOff>
          <xdr:row>0</xdr:row>
          <xdr:rowOff>133350</xdr:rowOff>
        </xdr:from>
        <xdr:to>
          <xdr:col>4</xdr:col>
          <xdr:colOff>609600</xdr:colOff>
          <xdr:row>3</xdr:row>
          <xdr:rowOff>9525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EQUIPAMENTOS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</xdr:colOff>
          <xdr:row>1</xdr:row>
          <xdr:rowOff>104775</xdr:rowOff>
        </xdr:from>
        <xdr:to>
          <xdr:col>5</xdr:col>
          <xdr:colOff>1152525</xdr:colOff>
          <xdr:row>2</xdr:row>
          <xdr:rowOff>142875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00" mc:Ignorable="a14" a14:legacySpreadsheetColorIndex="5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790575</xdr:colOff>
          <xdr:row>0</xdr:row>
          <xdr:rowOff>133350</xdr:rowOff>
        </xdr:from>
        <xdr:to>
          <xdr:col>6</xdr:col>
          <xdr:colOff>1171575</xdr:colOff>
          <xdr:row>3</xdr:row>
          <xdr:rowOff>9525</xdr:rowOff>
        </xdr:to>
        <xdr:sp macro="" textlink="">
          <xdr:nvSpPr>
            <xdr:cNvPr id="8207" name="Group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EXIBIÇÃO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1228725</xdr:colOff>
          <xdr:row>1</xdr:row>
          <xdr:rowOff>104775</xdr:rowOff>
        </xdr:from>
        <xdr:to>
          <xdr:col>6</xdr:col>
          <xdr:colOff>1000125</xdr:colOff>
          <xdr:row>2</xdr:row>
          <xdr:rowOff>142875</xdr:rowOff>
        </xdr:to>
        <xdr:sp macro="" textlink="">
          <xdr:nvSpPr>
            <xdr:cNvPr id="8208" name="Option 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RESUMO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1390650</xdr:colOff>
          <xdr:row>1</xdr:row>
          <xdr:rowOff>47625</xdr:rowOff>
        </xdr:from>
        <xdr:to>
          <xdr:col>7</xdr:col>
          <xdr:colOff>142875</xdr:colOff>
          <xdr:row>2</xdr:row>
          <xdr:rowOff>142875</xdr:rowOff>
        </xdr:to>
        <xdr:sp macro="" textlink="">
          <xdr:nvSpPr>
            <xdr:cNvPr id="8213" name="Button 21" descr="Busca Material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Busca Material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876300</xdr:colOff>
          <xdr:row>1</xdr:row>
          <xdr:rowOff>104775</xdr:rowOff>
        </xdr:from>
        <xdr:to>
          <xdr:col>2</xdr:col>
          <xdr:colOff>152400</xdr:colOff>
          <xdr:row>1</xdr:row>
          <xdr:rowOff>314325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 TODOS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104775</xdr:rowOff>
        </xdr:from>
        <xdr:to>
          <xdr:col>4</xdr:col>
          <xdr:colOff>38100</xdr:colOff>
          <xdr:row>1</xdr:row>
          <xdr:rowOff>314325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UTILIZADOS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714375</xdr:colOff>
          <xdr:row>0</xdr:row>
          <xdr:rowOff>123825</xdr:rowOff>
        </xdr:from>
        <xdr:to>
          <xdr:col>4</xdr:col>
          <xdr:colOff>104775</xdr:colOff>
          <xdr:row>2</xdr:row>
          <xdr:rowOff>0</xdr:rowOff>
        </xdr:to>
        <xdr:sp macro="" textlink="">
          <xdr:nvSpPr>
            <xdr:cNvPr id="4133" name="Group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1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MÃO DE OBRA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295275</xdr:colOff>
          <xdr:row>0</xdr:row>
          <xdr:rowOff>123825</xdr:rowOff>
        </xdr:from>
        <xdr:to>
          <xdr:col>5</xdr:col>
          <xdr:colOff>1914525</xdr:colOff>
          <xdr:row>2</xdr:row>
          <xdr:rowOff>0</xdr:rowOff>
        </xdr:to>
        <xdr:sp macro="" textlink="">
          <xdr:nvSpPr>
            <xdr:cNvPr id="4134" name="Group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EXIBIÇÃO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1</xdr:row>
          <xdr:rowOff>104775</xdr:rowOff>
        </xdr:from>
        <xdr:to>
          <xdr:col>5</xdr:col>
          <xdr:colOff>609600</xdr:colOff>
          <xdr:row>1</xdr:row>
          <xdr:rowOff>342900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00" mc:Ignorable="a14" a14:legacySpreadsheetColorIndex="5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723900</xdr:colOff>
          <xdr:row>1</xdr:row>
          <xdr:rowOff>85725</xdr:rowOff>
        </xdr:from>
        <xdr:to>
          <xdr:col>5</xdr:col>
          <xdr:colOff>1800225</xdr:colOff>
          <xdr:row>1</xdr:row>
          <xdr:rowOff>342900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RESUMO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437029</xdr:colOff>
      <xdr:row>38</xdr:row>
      <xdr:rowOff>33618</xdr:rowOff>
    </xdr:from>
    <xdr:to>
      <xdr:col>6</xdr:col>
      <xdr:colOff>694764</xdr:colOff>
      <xdr:row>39</xdr:row>
      <xdr:rowOff>168088</xdr:rowOff>
    </xdr:to>
    <xdr:sp macro="" textlink="">
      <xdr:nvSpPr>
        <xdr:cNvPr id="2" name="Seta para baix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10500" y="9368118"/>
          <a:ext cx="257735" cy="324970"/>
        </a:xfrm>
        <a:prstGeom prst="down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365365</xdr:colOff>
      <xdr:row>38</xdr:row>
      <xdr:rowOff>40340</xdr:rowOff>
    </xdr:from>
    <xdr:to>
      <xdr:col>10</xdr:col>
      <xdr:colOff>623100</xdr:colOff>
      <xdr:row>39</xdr:row>
      <xdr:rowOff>174810</xdr:rowOff>
    </xdr:to>
    <xdr:sp macro="" textlink="">
      <xdr:nvSpPr>
        <xdr:cNvPr id="9" name="Seta para baix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061630" y="9374840"/>
          <a:ext cx="257735" cy="324970"/>
        </a:xfrm>
        <a:prstGeom prst="down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16807</xdr:colOff>
      <xdr:row>38</xdr:row>
      <xdr:rowOff>5604</xdr:rowOff>
    </xdr:from>
    <xdr:to>
      <xdr:col>9</xdr:col>
      <xdr:colOff>1400735</xdr:colOff>
      <xdr:row>39</xdr:row>
      <xdr:rowOff>123266</xdr:rowOff>
    </xdr:to>
    <xdr:sp macro="" textlink="">
      <xdr:nvSpPr>
        <xdr:cNvPr id="3" name="Chave esqu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0483102" y="7435103"/>
          <a:ext cx="308162" cy="4118163"/>
        </a:xfrm>
        <a:prstGeom prst="leftBrace">
          <a:avLst/>
        </a:prstGeom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470647</xdr:colOff>
      <xdr:row>2</xdr:row>
      <xdr:rowOff>67235</xdr:rowOff>
    </xdr:from>
    <xdr:to>
      <xdr:col>6</xdr:col>
      <xdr:colOff>739588</xdr:colOff>
      <xdr:row>3</xdr:row>
      <xdr:rowOff>145677</xdr:rowOff>
    </xdr:to>
    <xdr:sp macro="" textlink="">
      <xdr:nvSpPr>
        <xdr:cNvPr id="4" name="Seta para baix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844118" y="661147"/>
          <a:ext cx="268941" cy="313765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16</xdr:col>
      <xdr:colOff>1</xdr:colOff>
      <xdr:row>42</xdr:row>
      <xdr:rowOff>56030</xdr:rowOff>
    </xdr:from>
    <xdr:to>
      <xdr:col>20</xdr:col>
      <xdr:colOff>215098</xdr:colOff>
      <xdr:row>52</xdr:row>
      <xdr:rowOff>184730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6F68B3F-E6C6-854B-997D-D2FA43F50A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615"/>
        <a:stretch/>
      </xdr:blipFill>
      <xdr:spPr>
        <a:xfrm>
          <a:off x="10040472" y="9726706"/>
          <a:ext cx="3610479" cy="2302642"/>
        </a:xfrm>
        <a:prstGeom prst="rect">
          <a:avLst/>
        </a:prstGeom>
      </xdr:spPr>
    </xdr:pic>
    <xdr:clientData/>
  </xdr:twoCellAnchor>
  <xdr:twoCellAnchor editAs="oneCell">
    <xdr:from>
      <xdr:col>20</xdr:col>
      <xdr:colOff>212912</xdr:colOff>
      <xdr:row>42</xdr:row>
      <xdr:rowOff>33617</xdr:rowOff>
    </xdr:from>
    <xdr:to>
      <xdr:col>26</xdr:col>
      <xdr:colOff>230790</xdr:colOff>
      <xdr:row>52</xdr:row>
      <xdr:rowOff>222205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700FC98-4723-0826-E660-9EAE9ADA4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8765" y="9704293"/>
          <a:ext cx="3648584" cy="23625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1</xdr:row>
          <xdr:rowOff>76200</xdr:rowOff>
        </xdr:from>
        <xdr:to>
          <xdr:col>2</xdr:col>
          <xdr:colOff>476250</xdr:colOff>
          <xdr:row>2</xdr:row>
          <xdr:rowOff>57150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 TODOS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1</xdr:row>
          <xdr:rowOff>76200</xdr:rowOff>
        </xdr:from>
        <xdr:to>
          <xdr:col>3</xdr:col>
          <xdr:colOff>857250</xdr:colOff>
          <xdr:row>2</xdr:row>
          <xdr:rowOff>57150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UTILIZADOS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0</xdr:row>
          <xdr:rowOff>123825</xdr:rowOff>
        </xdr:from>
        <xdr:to>
          <xdr:col>4</xdr:col>
          <xdr:colOff>0</xdr:colOff>
          <xdr:row>2</xdr:row>
          <xdr:rowOff>200025</xdr:rowOff>
        </xdr:to>
        <xdr:sp macro="" textlink="">
          <xdr:nvSpPr>
            <xdr:cNvPr id="6150" name="Group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MÃO DE OBRA TERCEIRIZADA        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0</xdr:row>
          <xdr:rowOff>123825</xdr:rowOff>
        </xdr:from>
        <xdr:to>
          <xdr:col>7</xdr:col>
          <xdr:colOff>38100</xdr:colOff>
          <xdr:row>2</xdr:row>
          <xdr:rowOff>200025</xdr:rowOff>
        </xdr:to>
        <xdr:sp macro="" textlink="">
          <xdr:nvSpPr>
            <xdr:cNvPr id="6151" name="Group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EXIBIÇÃO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</xdr:row>
          <xdr:rowOff>85725</xdr:rowOff>
        </xdr:from>
        <xdr:to>
          <xdr:col>5</xdr:col>
          <xdr:colOff>504825</xdr:colOff>
          <xdr:row>2</xdr:row>
          <xdr:rowOff>66675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00" mc:Ignorable="a14" a14:legacySpreadsheetColorIndex="5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638175</xdr:colOff>
          <xdr:row>1</xdr:row>
          <xdr:rowOff>85725</xdr:rowOff>
        </xdr:from>
        <xdr:to>
          <xdr:col>6</xdr:col>
          <xdr:colOff>704850</xdr:colOff>
          <xdr:row>2</xdr:row>
          <xdr:rowOff>66675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RESUMO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471673</xdr:colOff>
      <xdr:row>18</xdr:row>
      <xdr:rowOff>69854</xdr:rowOff>
    </xdr:from>
    <xdr:to>
      <xdr:col>2</xdr:col>
      <xdr:colOff>651673</xdr:colOff>
      <xdr:row>19</xdr:row>
      <xdr:rowOff>87929</xdr:rowOff>
    </xdr:to>
    <xdr:sp macro="" textlink="">
      <xdr:nvSpPr>
        <xdr:cNvPr id="4" name="Ma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443473" y="1965329"/>
          <a:ext cx="180000" cy="180000"/>
        </a:xfrm>
        <a:prstGeom prst="mathPlus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</xdr:col>
      <xdr:colOff>467607</xdr:colOff>
      <xdr:row>25</xdr:row>
      <xdr:rowOff>51983</xdr:rowOff>
    </xdr:from>
    <xdr:to>
      <xdr:col>2</xdr:col>
      <xdr:colOff>647607</xdr:colOff>
      <xdr:row>26</xdr:row>
      <xdr:rowOff>70058</xdr:rowOff>
    </xdr:to>
    <xdr:sp macro="" textlink="">
      <xdr:nvSpPr>
        <xdr:cNvPr id="5" name="Igu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5400000">
          <a:off x="3439407" y="3242858"/>
          <a:ext cx="180000" cy="180000"/>
        </a:xfrm>
        <a:prstGeom prst="mathEqual">
          <a:avLst>
            <a:gd name="adj1" fmla="val 16307"/>
            <a:gd name="adj2" fmla="val 25612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1735F2D-8216-4C6B-87B3-643AE15D176E}" autoFormatId="16" applyNumberFormats="0" applyBorderFormats="0" applyFontFormats="0" applyPatternFormats="0" applyAlignmentFormats="0" applyWidthHeightFormats="0">
  <queryTableRefresh nextId="18">
    <queryTableFields count="16">
      <queryTableField id="1" name="Fabricante" tableColumnId="1"/>
      <queryTableField id="2" name="Tipo" tableColumnId="2"/>
      <queryTableField id="3" name="Função" tableColumnId="3"/>
      <queryTableField id="4" name="Qtde." tableColumnId="4"/>
      <queryTableField id="5" name="Unidade" tableColumnId="5"/>
      <queryTableField id="6" name="Código" tableColumnId="6"/>
      <queryTableField id="7" name="Descrição" tableColumnId="7"/>
      <queryTableField id="8" name="Custo Unitário_x000a_Sem Tributos (R$)" tableColumnId="8"/>
      <queryTableField id="9" name="Custo Total_x000a_Sem Tributos (R$)" tableColumnId="9"/>
      <queryTableField id="10" name="IPI_x000a_(%)" tableColumnId="10"/>
      <queryTableField id="11" name="Custo Total_x000a_Com IPI (R$)" tableColumnId="11"/>
      <queryTableField id="12" name="Margem_x000a_(%)" tableColumnId="12"/>
      <queryTableField id="13" name="Valor Total_x000a_Com Margem_x000a_Sem Tributos   (R$)" tableColumnId="13"/>
      <queryTableField id="14" name="Data Registro" tableColumnId="14"/>
      <queryTableField id="15" name="Fornecedor" tableColumnId="15"/>
      <queryTableField id="17" name="NCM" tableColumnId="16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Materiais" displayName="Materiais" ref="A5:U454" totalsRowCount="1" headerRowDxfId="159" dataDxfId="158" totalsRowDxfId="157">
  <autoFilter ref="A5:U453" xr:uid="{00000000-0009-0000-0100-000009000000}"/>
  <sortState xmlns:xlrd2="http://schemas.microsoft.com/office/spreadsheetml/2017/richdata2" ref="A6:S281">
    <sortCondition ref="A5:A281"/>
  </sortState>
  <tableColumns count="21">
    <tableColumn id="3" xr3:uid="{00000000-0010-0000-0000-000003000000}" name="Fabricante" dataDxfId="156" totalsRowDxfId="155"/>
    <tableColumn id="9" xr3:uid="{00000000-0010-0000-0000-000009000000}" name="Tipo" dataDxfId="154" totalsRowDxfId="153"/>
    <tableColumn id="2" xr3:uid="{00000000-0010-0000-0000-000002000000}" name="Função" dataDxfId="152" totalsRowDxfId="151"/>
    <tableColumn id="5" xr3:uid="{00000000-0010-0000-0000-000005000000}" name="Qtde." dataDxfId="150" totalsRowDxfId="149"/>
    <tableColumn id="4" xr3:uid="{00000000-0010-0000-0000-000004000000}" name="Unidade" dataDxfId="148" totalsRowDxfId="147"/>
    <tableColumn id="8" xr3:uid="{00000000-0010-0000-0000-000008000000}" name="Código" dataDxfId="146" totalsRowDxfId="145"/>
    <tableColumn id="1" xr3:uid="{00000000-0010-0000-0000-000001000000}" name="Descrição" dataDxfId="144" totalsRowDxfId="143"/>
    <tableColumn id="20" xr3:uid="{00000000-0010-0000-0000-000014000000}" name="Custo Unitário_x000a_Sem Tributos (R$)" dataDxfId="142" totalsRowDxfId="141"/>
    <tableColumn id="22" xr3:uid="{00000000-0010-0000-0000-000016000000}" name="Custo Total_x000a_Sem Tributos (R$)" totalsRowFunction="sum" dataDxfId="140" totalsRowDxfId="139">
      <calculatedColumnFormula>(Materiais[[#This Row],[Qtde.]]*Materiais[[#This Row],[Custo Unitário
Sem Tributos (R$)]])</calculatedColumnFormula>
    </tableColumn>
    <tableColumn id="15" xr3:uid="{00000000-0010-0000-0000-00000F000000}" name="IPI_x000a_(%)" dataDxfId="138" totalsRowDxfId="137"/>
    <tableColumn id="12" xr3:uid="{00000000-0010-0000-0000-00000C000000}" name="Custo Total_x000a_Com IPI (R$)" totalsRowFunction="sum" dataDxfId="136" totalsRowDxfId="135">
      <calculatedColumnFormula>Materiais[[#This Row],[Custo Total
Sem Tributos (R$)]]*Materiais[[#This Row],[IPI
(%)]]+Materiais[[#This Row],[Custo Total
Sem Tributos (R$)]]</calculatedColumnFormula>
    </tableColumn>
    <tableColumn id="17" xr3:uid="{00000000-0010-0000-0000-000011000000}" name="Margem_x000a_(%)" dataDxfId="134" totalsRowDxfId="133"/>
    <tableColumn id="18" xr3:uid="{00000000-0010-0000-0000-000012000000}" name="Valor Total_x000a_Com Margem_x000a_Sem Tributos   (R$)" totalsRowFunction="sum" dataDxfId="132" totalsRowDxfId="131">
      <calculatedColumnFormula>Materiais[[#This Row],[Custo Total
Com IPI (R$)]]/(1-Materiais[[#This Row],[Margem
(%)]])</calculatedColumnFormula>
    </tableColumn>
    <tableColumn id="23" xr3:uid="{00000000-0010-0000-0000-000017000000}" name="Lucratividade_x000a_(R$)" totalsRowFunction="sum" dataDxfId="130" totalsRowDxfId="129">
      <calculatedColumnFormula>Materiais[[#This Row],[Valor Venda c/ Potencial Desconto  em Material (R$)]]-Materiais[[#This Row],[Custo Total
Com IPI (R$)]]</calculatedColumnFormula>
    </tableColumn>
    <tableColumn id="11" xr3:uid="{00000000-0010-0000-0000-00000B000000}" name="Valor Venda c/ Potencial Desconto  em Material (R$)" totalsRowFunction="sum" dataDxfId="128" totalsRowDxfId="127">
      <calculatedColumnFormula>Materiais[[#This Row],[Valor Total
Com Margem
Sem Tributos   (R$)]]/(1-('Valores Finais'!$C$10))</calculatedColumnFormula>
    </tableColumn>
    <tableColumn id="10" xr3:uid="{00000000-0010-0000-0000-00000A000000}" name="Valor Venda c/ Comissões (R$)" totalsRowFunction="sum" dataDxfId="126" totalsRowDxfId="125">
      <calculatedColumnFormula>Materiais[[#This Row],[Valor Venda c/ Potencial Desconto  em Material (R$)]]/(1-('Valores Finais'!$B$6))</calculatedColumnFormula>
    </tableColumn>
    <tableColumn id="24" xr3:uid="{00000000-0010-0000-0000-000018000000}" name="Tributos_x000a_(%)" dataDxfId="124" totalsRowDxfId="123">
      <calculatedColumnFormula>'Valores Finais'!$B$10</calculatedColumnFormula>
    </tableColumn>
    <tableColumn id="25" xr3:uid="{00000000-0010-0000-0000-000019000000}" name="Tributos_x000a_(R$)" totalsRowFunction="sum" dataDxfId="122" totalsRowDxfId="121">
      <calculatedColumnFormula>Materiais[[#This Row],[Valor Venda c/ Comissões (R$)]]/(1-Materiais[[#This Row],[Tributos
(%)]])-Materiais[[#This Row],[Valor Venda c/ Comissões (R$)]]</calculatedColumnFormula>
    </tableColumn>
    <tableColumn id="26" xr3:uid="{00000000-0010-0000-0000-00001A000000}" name="Valor Venda_x000a_Com Tributos (R$)" totalsRowFunction="sum" dataDxfId="120" totalsRowDxfId="119">
      <calculatedColumnFormula>Materiais[[#This Row],[Valor Venda c/ Comissões (R$)]]+Materiais[[#This Row],[Tributos
(R$)]]</calculatedColumnFormula>
    </tableColumn>
    <tableColumn id="6" xr3:uid="{66C6156C-5EF0-4956-ABF5-65DCB4D244A1}" name="Data Update" dataDxfId="118" totalsRowDxfId="117"/>
    <tableColumn id="14" xr3:uid="{EF97F68F-C3D3-44FF-802E-3B77A47CD5EF}" name="Tempo Desatualizado" dataDxfId="116" totalsRowDxfId="115">
      <calculatedColumnFormula>IF(Materiais[[#This Row],[Data Update]] = "",0,IF(_xlfn.DAYS(NOW(),Materiais[[#This Row],[Data Update]])&lt;=0,0,_xlfn.DAYS(NOW(),Materiais[[#This Row],[Data Update]])))</calculatedColumnFormula>
    </tableColumn>
  </tableColumns>
  <tableStyleInfo name="Full Tim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ervicoFull" displayName="ServicoFull" ref="A5:R36" totalsRowCount="1" headerRowDxfId="114" dataDxfId="113" totalsRowDxfId="112">
  <autoFilter ref="A5:R35" xr:uid="{00000000-0009-0000-0100-000003000000}"/>
  <tableColumns count="18">
    <tableColumn id="9" xr3:uid="{00000000-0010-0000-0200-000009000000}" name="Qtde._x000a_Recursos" dataDxfId="111" totalsRowDxfId="17"/>
    <tableColumn id="10" xr3:uid="{00000000-0010-0000-0200-00000A000000}" name="Qtde._x000a_Utilizado" totalsRowLabel="6" dataDxfId="110" totalsRowDxfId="16"/>
    <tableColumn id="1" xr3:uid="{00000000-0010-0000-0200-000001000000}" name="Qtde._x000a_Total" totalsRowFunction="sum" dataDxfId="109" totalsRowDxfId="15">
      <calculatedColumnFormula>IF(AND(ServicoFull[[#This Row],[Tipo]]&lt;&gt;"Despesas",ServicoFull[[#This Row],[Tipo]]&lt;&gt;"Comercial"),A6*B6,0)</calculatedColumnFormula>
    </tableColumn>
    <tableColumn id="2" xr3:uid="{00000000-0010-0000-0200-000002000000}" name="Unidade" dataDxfId="108" totalsRowDxfId="14"/>
    <tableColumn id="3" xr3:uid="{00000000-0010-0000-0200-000003000000}" name="Tipo" dataDxfId="107" totalsRowDxfId="13"/>
    <tableColumn id="5" xr3:uid="{00000000-0010-0000-0200-000005000000}" name="Descrição" dataDxfId="106" totalsRowDxfId="12"/>
    <tableColumn id="4" xr3:uid="{00000000-0010-0000-0200-000004000000}" name="Grau de _x000a_Complexidade" dataDxfId="105" totalsRowDxfId="11"/>
    <tableColumn id="8" xr3:uid="{00000000-0010-0000-0200-000008000000}" name="Custo Unitário_x000a_Sem Tributos  (R$)" dataDxfId="104" totalsRowDxfId="10">
      <calculatedColumnFormula>IF(ServicoFull[[#This Row],[Grau de 
Complexidade]]=$L$43,H49,IF(ServicoFull[[#This Row],[Grau de 
Complexidade]]=$L$44,I49,IF(ServicoFull[[#This Row],[Grau de 
Complexidade]]=$L$45,J49,"Inserir Grau de Complexidade")))</calculatedColumnFormula>
    </tableColumn>
    <tableColumn id="11" xr3:uid="{00000000-0010-0000-0200-00000B000000}" name="Valor Total _x000a_Sem Tributos (R$)" totalsRowFunction="sum" dataDxfId="103" totalsRowDxfId="9">
      <calculatedColumnFormula>ServicoFull[[#This Row],[Qtde.
Recursos]]*ServicoFull[[#This Row],[Qtde.
Utilizado]]*ServicoFull[[#This Row],[Custo Unitário
Sem Tributos  (R$)]]</calculatedColumnFormula>
    </tableColumn>
    <tableColumn id="13" xr3:uid="{00000000-0010-0000-0200-00000D000000}" name="Custo Interno (R$)" dataDxfId="102" totalsRowDxfId="8"/>
    <tableColumn id="14" xr3:uid="{00000000-0010-0000-0200-00000E000000}" name="Custo Interno Total (R$)" totalsRowFunction="sum" dataDxfId="101" totalsRowDxfId="7">
      <calculatedColumnFormula>ServicoFull[[#This Row],[Qtde.
Recursos]]*ServicoFull[[#This Row],[Qtde.
Utilizado]]*ServicoFull[[#This Row],[Custo Interno (R$)]]</calculatedColumnFormula>
    </tableColumn>
    <tableColumn id="16" xr3:uid="{00000000-0010-0000-0200-000010000000}" name="Lucratividade (R$)" totalsRowFunction="sum" dataDxfId="100" totalsRowDxfId="6">
      <calculatedColumnFormula>IF(OR(ServicoFull[[#This Row],[Tipo]]="Despesas",ServicoFull[[#This Row],[Tipo]]="Comercial"),0,ServicoFull[[#This Row],[Valor Venda c/ Potencial Desconto  em Serviço (R$)]]-ServicoFull[[#This Row],[Custo Interno Total (R$)]])</calculatedColumnFormula>
    </tableColumn>
    <tableColumn id="6" xr3:uid="{00000000-0010-0000-0200-000006000000}" name="Valor Venda c/ Potencial Desconto  em Serviço (R$)" totalsRowFunction="sum" dataDxfId="99" totalsRowDxfId="5">
      <calculatedColumnFormula>ServicoFull[[#This Row],[Valor Total 
Sem Tributos (R$)]]/(1-('Valores Finais'!$C$11))</calculatedColumnFormula>
    </tableColumn>
    <tableColumn id="7" xr3:uid="{00000000-0010-0000-0200-000007000000}" name="Valor Venda c/ Comissões (R$)" totalsRowFunction="sum" dataDxfId="98" totalsRowDxfId="4">
      <calculatedColumnFormula>ServicoFull[[#This Row],[Valor Venda c/ Potencial Desconto  em Serviço (R$)]]/(1-('Valores Finais'!$C$6))</calculatedColumnFormula>
    </tableColumn>
    <tableColumn id="19" xr3:uid="{00000000-0010-0000-0200-000013000000}" name="Lucratividade_x000a_(%)" dataDxfId="97" totalsRowDxfId="3">
      <calculatedColumnFormula>IF(ServicoFull[[#This Row],[Qtde.
Recursos]]&gt;0, IF(ServicoFull[[#This Row],[Custo Unitário
Sem Tributos  (R$)]] &lt;&gt; 0, ServicoFull[[#This Row],[Lucratividade (R$)]]/ServicoFull[[#This Row],[Valor Total 
Sem Tributos (R$)]],0),0)</calculatedColumnFormula>
    </tableColumn>
    <tableColumn id="12" xr3:uid="{00000000-0010-0000-0200-00000C000000}" name="Tributos_x000a_(%)" dataDxfId="96" totalsRowDxfId="2">
      <calculatedColumnFormula>'Valores Finais'!$B$11</calculatedColumnFormula>
    </tableColumn>
    <tableColumn id="17" xr3:uid="{00000000-0010-0000-0200-000011000000}" name="Tributos_x000a_(R$)" totalsRowFunction="sum" dataDxfId="95" totalsRowDxfId="1">
      <calculatedColumnFormula>ServicoFull[[#This Row],[Valor Venda c/ Comissões (R$)]]/(1-ServicoFull[[#This Row],[Tributos
(%)]])-ServicoFull[[#This Row],[Valor Venda c/ Comissões (R$)]]</calculatedColumnFormula>
    </tableColumn>
    <tableColumn id="18" xr3:uid="{00000000-0010-0000-0200-000012000000}" name="Valor Venda_x000a_Com Tributos (R$)" totalsRowFunction="sum" dataDxfId="94" totalsRowDxfId="0">
      <calculatedColumnFormula>ServicoFull[[#This Row],[Valor Venda c/ Comissões (R$)]]+ServicoFull[[#This Row],[Tributos
(R$)]]</calculatedColumnFormula>
    </tableColumn>
  </tableColumns>
  <tableStyleInfo name="Full Tim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ervicoTerceiros" displayName="ServicoTerceiros" ref="A5:N23" totalsRowCount="1" headerRowDxfId="93" dataDxfId="92" totalsRowDxfId="91">
  <autoFilter ref="A5:N22" xr:uid="{00000000-0009-0000-0100-000007000000}"/>
  <sortState xmlns:xlrd2="http://schemas.microsoft.com/office/spreadsheetml/2017/richdata2" ref="A5:D18">
    <sortCondition ref="A4:A19"/>
  </sortState>
  <tableColumns count="14">
    <tableColumn id="3" xr3:uid="{00000000-0010-0000-0300-000003000000}" name="Empresa" dataDxfId="90" totalsRowDxfId="31"/>
    <tableColumn id="9" xr3:uid="{00000000-0010-0000-0300-000009000000}" name="Qtde." totalsRowFunction="sum" dataDxfId="89" totalsRowDxfId="30"/>
    <tableColumn id="2" xr3:uid="{00000000-0010-0000-0300-000002000000}" name="Unidade" dataDxfId="88" totalsRowDxfId="29"/>
    <tableColumn id="5" xr3:uid="{00000000-0010-0000-0300-000005000000}" name="Descrição" dataDxfId="87" totalsRowDxfId="28"/>
    <tableColumn id="8" xr3:uid="{00000000-0010-0000-0300-000008000000}" name="Custo Unitário_x000a_Sem Tributos  (R$)" dataDxfId="86" totalsRowDxfId="27"/>
    <tableColumn id="1" xr3:uid="{00000000-0010-0000-0300-000001000000}" name="Custo Total_x000a_Sem Tributos   (R$)" totalsRowFunction="sum" dataDxfId="85" totalsRowDxfId="26">
      <calculatedColumnFormula>ServicoTerceiros[[#This Row],[Qtde.]]*ServicoTerceiros[[#This Row],[Custo Unitário
Sem Tributos  (R$)]]</calculatedColumnFormula>
    </tableColumn>
    <tableColumn id="20" xr3:uid="{00000000-0010-0000-0300-000014000000}" name="Margem_x000a_(%)" dataDxfId="84" totalsRowDxfId="25"/>
    <tableColumn id="22" xr3:uid="{00000000-0010-0000-0300-000016000000}" name="Valor Total_x000a_Com Margem_x000a_Sem Tributos   (R$)" totalsRowFunction="sum" dataDxfId="83" totalsRowDxfId="24">
      <calculatedColumnFormula>(ServicoTerceiros[[#This Row],[Custo Total
Sem Tributos   (R$)]]/(1-ServicoTerceiros[[#This Row],[Margem
(%)]]))</calculatedColumnFormula>
    </tableColumn>
    <tableColumn id="15" xr3:uid="{00000000-0010-0000-0300-00000F000000}" name="Lucratividade (R$)" totalsRowFunction="sum" dataDxfId="82" totalsRowDxfId="23">
      <calculatedColumnFormula>ServicoTerceiros[[#This Row],[Valor Venda c/ Potencial Desconto  em Serviço (R$)]]-ServicoTerceiros[[#This Row],[Custo Total
Sem Tributos   (R$)]]</calculatedColumnFormula>
    </tableColumn>
    <tableColumn id="7" xr3:uid="{00000000-0010-0000-0300-000007000000}" name="Valor Venda c/ Potencial Desconto  em Serviço (R$)" totalsRowFunction="sum" dataDxfId="81" totalsRowDxfId="22">
      <calculatedColumnFormula>ServicoTerceiros[[#This Row],[Valor Total
Com Margem
Sem Tributos   (R$)]]/(1-('Valores Finais'!$C$11))</calculatedColumnFormula>
    </tableColumn>
    <tableColumn id="10" xr3:uid="{00000000-0010-0000-0300-00000A000000}" name="Valor Venda c/ Comissões (R$)" totalsRowFunction="sum" dataDxfId="80" totalsRowDxfId="21">
      <calculatedColumnFormula>ServicoTerceiros[[#This Row],[Valor Venda c/ Potencial Desconto  em Serviço (R$)]]*(1+('Valores Finais'!$C$6))</calculatedColumnFormula>
    </tableColumn>
    <tableColumn id="12" xr3:uid="{00000000-0010-0000-0300-00000C000000}" name="Tributos_x000a_(%)" dataDxfId="79" totalsRowDxfId="20">
      <calculatedColumnFormula>'Valores Finais'!$B$11</calculatedColumnFormula>
    </tableColumn>
    <tableColumn id="17" xr3:uid="{00000000-0010-0000-0300-000011000000}" name="Tributos_x000a_(R$)" totalsRowFunction="sum" dataDxfId="78" totalsRowDxfId="19">
      <calculatedColumnFormula>ServicoTerceiros[[#This Row],[Valor Venda c/ Comissões (R$)]]/(1-ServicoTerceiros[[#This Row],[Tributos
(%)]])-ServicoTerceiros[[#This Row],[Valor Venda c/ Comissões (R$)]]</calculatedColumnFormula>
    </tableColumn>
    <tableColumn id="18" xr3:uid="{00000000-0010-0000-0300-000012000000}" name="Valor Venda_x000a_Com Tributos (R$)" totalsRowFunction="sum" dataDxfId="77" totalsRowDxfId="18">
      <calculatedColumnFormula>ServicoTerceiros[[#This Row],[Valor Venda c/ Comissões (R$)]]+ServicoTerceiros[[#This Row],[Tributos
(R$)]]</calculatedColumnFormula>
    </tableColumn>
  </tableColumns>
  <tableStyleInfo name="Full Tim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specificacoesIO" displayName="EspecificacoesIO" ref="A4:J30" totalsRowCount="1" headerRowDxfId="62" dataDxfId="61" totalsRowDxfId="59" tableBorderDxfId="60">
  <autoFilter ref="A4:J29" xr:uid="{00000000-0009-0000-0100-000005000000}"/>
  <tableColumns count="10">
    <tableColumn id="1" xr3:uid="{00000000-0010-0000-0400-000001000000}" name="Item" dataDxfId="58" totalsRowDxfId="57"/>
    <tableColumn id="2" xr3:uid="{00000000-0010-0000-0400-000002000000}" name="Local" dataDxfId="56" totalsRowDxfId="55"/>
    <tableColumn id="3" xr3:uid="{00000000-0010-0000-0400-000003000000}" name="De" dataDxfId="54" totalsRowDxfId="53"/>
    <tableColumn id="4" xr3:uid="{00000000-0010-0000-0400-000004000000}" name="Para" dataDxfId="52" totalsRowDxfId="51"/>
    <tableColumn id="10" xr3:uid="{00000000-0010-0000-0400-00000A000000}" name="Qtde." dataDxfId="50" totalsRowDxfId="49"/>
    <tableColumn id="5" xr3:uid="{00000000-0010-0000-0400-000005000000}" name="Descrição" dataDxfId="48" totalsRowDxfId="47"/>
    <tableColumn id="6" xr3:uid="{00000000-0010-0000-0400-000006000000}" name="DI" totalsRowFunction="sum" dataDxfId="46" totalsRowDxfId="45"/>
    <tableColumn id="7" xr3:uid="{00000000-0010-0000-0400-000007000000}" name="DO" totalsRowFunction="sum" dataDxfId="44" totalsRowDxfId="43"/>
    <tableColumn id="8" xr3:uid="{00000000-0010-0000-0400-000008000000}" name="AI" totalsRowFunction="custom" dataDxfId="42" totalsRowDxfId="41">
      <totalsRowFormula>SUM(EspecificacoesIO[AI])</totalsRowFormula>
    </tableColumn>
    <tableColumn id="9" xr3:uid="{00000000-0010-0000-0400-000009000000}" name="AO" totalsRowFunction="custom" dataDxfId="40" totalsRowDxfId="39">
      <totalsRowFormula>SUM(EspecificacoesIO[AO])</totalsRowFormula>
    </tableColumn>
  </tableColumns>
  <tableStyleInfo name="Full Tim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F8C026-1DC3-4062-9384-1A585873A1E0}" name="DbMateriais" displayName="DbMateriais" ref="A1:P1020" tableType="queryTable" totalsRowShown="0">
  <autoFilter ref="A1:P1020" xr:uid="{8BF8C026-1DC3-4062-9384-1A585873A1E0}">
    <filterColumn colId="0">
      <customFilters>
        <customFilter val="**"/>
      </customFilters>
    </filterColumn>
  </autoFilter>
  <tableColumns count="16">
    <tableColumn id="1" xr3:uid="{442F5FDE-5034-4409-9555-1C9CC2E9EBF4}" uniqueName="1" name="Fabricante" queryTableFieldId="1" dataDxfId="38"/>
    <tableColumn id="2" xr3:uid="{4DE370CB-CE3F-4C6B-BCFF-B0F4D7F5FD3E}" uniqueName="2" name="Tipo" queryTableFieldId="2" dataDxfId="37"/>
    <tableColumn id="3" xr3:uid="{E964C398-499D-48F8-B90A-6C0B3208CA61}" uniqueName="3" name="Função" queryTableFieldId="3"/>
    <tableColumn id="4" xr3:uid="{9F416E03-A5AA-4F72-AF52-96A677011E82}" uniqueName="4" name="Qtde." queryTableFieldId="4"/>
    <tableColumn id="5" xr3:uid="{A4DE2B8D-016F-47DF-933D-0CC71343437D}" uniqueName="5" name="Unidade" queryTableFieldId="5" dataDxfId="36"/>
    <tableColumn id="6" xr3:uid="{67E57CB1-3E95-40E9-A737-8B8220588007}" uniqueName="6" name="Código" queryTableFieldId="6" dataDxfId="35"/>
    <tableColumn id="7" xr3:uid="{D03BD752-9C15-40A8-9053-A353D67AC4B9}" uniqueName="7" name="Descrição" queryTableFieldId="7" dataDxfId="34"/>
    <tableColumn id="8" xr3:uid="{F9A1B7DB-4788-456E-8F5F-7C85A72F16DE}" uniqueName="8" name="Custo Unitário_x000a_Sem Tributos (R$)" queryTableFieldId="8"/>
    <tableColumn id="9" xr3:uid="{0862EB77-FBB6-46FC-BF59-508F6C049C31}" uniqueName="9" name="Custo Total_x000a_Sem Tributos (R$)" queryTableFieldId="9"/>
    <tableColumn id="10" xr3:uid="{BE9C563E-CB9C-4BE8-AD06-F5B15481FA1A}" uniqueName="10" name="IPI_x000a_(%)" queryTableFieldId="10"/>
    <tableColumn id="11" xr3:uid="{37DB1115-16CD-47BC-858A-9C5C55452DDD}" uniqueName="11" name="Custo Total_x000a_Com IPI (R$)" queryTableFieldId="11"/>
    <tableColumn id="12" xr3:uid="{5251AB1A-98E8-4489-A066-3D9D1C3C4309}" uniqueName="12" name="Margem_x000a_(%)" queryTableFieldId="12"/>
    <tableColumn id="13" xr3:uid="{81D01B13-D29A-44F8-A930-F2E16D82445D}" uniqueName="13" name="Valor Total_x000a_Com Margem_x000a_Sem Tributos   (R$)" queryTableFieldId="13"/>
    <tableColumn id="14" xr3:uid="{70B58EA2-09E1-4041-8812-E1DE27EA5F8C}" uniqueName="14" name="Data Registro" queryTableFieldId="14" dataDxfId="33"/>
    <tableColumn id="15" xr3:uid="{5025091D-BAFF-4C32-B649-6A536EA10D90}" uniqueName="15" name="Fornecedor" queryTableFieldId="15" dataDxfId="32"/>
    <tableColumn id="16" xr3:uid="{49264630-C189-4640-B300-56538AA91B89}" uniqueName="16" name="NCM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5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U493"/>
  <sheetViews>
    <sheetView topLeftCell="B1" zoomScale="85" zoomScaleNormal="85" zoomScaleSheetLayoutView="85" workbookViewId="0">
      <selection activeCell="I6" sqref="I6"/>
    </sheetView>
  </sheetViews>
  <sheetFormatPr defaultRowHeight="15" x14ac:dyDescent="0.2"/>
  <cols>
    <col min="1" max="1" width="15.28515625" style="59" customWidth="1"/>
    <col min="2" max="2" width="12.140625" style="59" customWidth="1"/>
    <col min="3" max="3" width="7.42578125" style="59" customWidth="1"/>
    <col min="4" max="4" width="8" style="60" customWidth="1"/>
    <col min="5" max="5" width="13.140625" style="60" bestFit="1" customWidth="1"/>
    <col min="6" max="6" width="19.28515625" style="134" customWidth="1"/>
    <col min="7" max="7" width="52.7109375" style="127" customWidth="1"/>
    <col min="8" max="8" width="14.7109375" style="61" customWidth="1"/>
    <col min="9" max="9" width="16.7109375" style="10" customWidth="1"/>
    <col min="10" max="10" width="7" style="62" customWidth="1"/>
    <col min="11" max="11" width="15.28515625" style="150" customWidth="1"/>
    <col min="12" max="12" width="13.140625" style="63" customWidth="1"/>
    <col min="13" max="13" width="14.7109375" style="11" customWidth="1"/>
    <col min="14" max="14" width="12.85546875" style="11" customWidth="1"/>
    <col min="15" max="15" width="20.140625" style="45" customWidth="1"/>
    <col min="16" max="16" width="18.5703125" style="63" customWidth="1"/>
    <col min="17" max="17" width="8.28515625" style="1" customWidth="1"/>
    <col min="18" max="18" width="14.7109375" style="11" customWidth="1"/>
    <col min="19" max="19" width="17.5703125" style="11" customWidth="1"/>
    <col min="20" max="20" width="12.5703125" style="45" bestFit="1" customWidth="1"/>
    <col min="21" max="21" width="12.42578125" style="45" customWidth="1"/>
    <col min="22" max="16384" width="9.140625" style="45"/>
  </cols>
  <sheetData>
    <row r="1" spans="1:21" x14ac:dyDescent="0.2">
      <c r="A1" s="36"/>
    </row>
    <row r="2" spans="1:21" ht="18.75" x14ac:dyDescent="0.2">
      <c r="A2" s="43"/>
      <c r="B2" s="43"/>
      <c r="C2" s="43"/>
      <c r="D2" s="43"/>
      <c r="E2" s="43"/>
      <c r="F2" s="135"/>
      <c r="G2" s="43" t="s">
        <v>122</v>
      </c>
      <c r="H2" s="43"/>
      <c r="I2" s="182" t="s">
        <v>199</v>
      </c>
      <c r="J2" s="44"/>
      <c r="K2" s="151"/>
      <c r="L2" s="43"/>
      <c r="M2" s="6"/>
    </row>
    <row r="3" spans="1:21" ht="18.75" x14ac:dyDescent="0.2">
      <c r="A3" s="43"/>
      <c r="B3" s="43"/>
      <c r="C3" s="43"/>
      <c r="D3" s="43"/>
      <c r="E3" s="43"/>
      <c r="F3" s="135"/>
      <c r="G3" s="43"/>
      <c r="H3" s="43"/>
      <c r="I3" s="182" t="s">
        <v>200</v>
      </c>
      <c r="J3" s="44"/>
      <c r="K3" s="151"/>
      <c r="L3" s="43"/>
      <c r="M3" s="6"/>
    </row>
    <row r="5" spans="1:21" s="51" customFormat="1" ht="52.5" customHeight="1" x14ac:dyDescent="0.2">
      <c r="A5" s="47" t="s">
        <v>8</v>
      </c>
      <c r="B5" s="47" t="s">
        <v>2</v>
      </c>
      <c r="C5" s="47" t="s">
        <v>94</v>
      </c>
      <c r="D5" s="47" t="s">
        <v>0</v>
      </c>
      <c r="E5" s="47" t="s">
        <v>22</v>
      </c>
      <c r="F5" s="136" t="s">
        <v>1</v>
      </c>
      <c r="G5" s="47" t="s">
        <v>3</v>
      </c>
      <c r="H5" s="48" t="s">
        <v>38</v>
      </c>
      <c r="I5" s="8" t="s">
        <v>39</v>
      </c>
      <c r="J5" s="49" t="s">
        <v>40</v>
      </c>
      <c r="K5" s="152" t="s">
        <v>71</v>
      </c>
      <c r="L5" s="50" t="s">
        <v>33</v>
      </c>
      <c r="M5" s="8" t="s">
        <v>37</v>
      </c>
      <c r="N5" s="8" t="s">
        <v>43</v>
      </c>
      <c r="O5" s="87" t="s">
        <v>82</v>
      </c>
      <c r="P5" s="87" t="s">
        <v>101</v>
      </c>
      <c r="Q5" s="8" t="s">
        <v>30</v>
      </c>
      <c r="R5" s="8" t="s">
        <v>28</v>
      </c>
      <c r="S5" s="8" t="s">
        <v>35</v>
      </c>
      <c r="T5" s="48" t="s">
        <v>179</v>
      </c>
      <c r="U5" s="48" t="s">
        <v>207</v>
      </c>
    </row>
    <row r="6" spans="1:21" s="51" customFormat="1" x14ac:dyDescent="0.2">
      <c r="A6" s="46"/>
      <c r="B6" s="46"/>
      <c r="C6" s="46"/>
      <c r="D6" s="46"/>
      <c r="E6" s="46"/>
      <c r="F6" s="138"/>
      <c r="G6" s="129"/>
      <c r="H6" s="180"/>
      <c r="I6" s="5">
        <f>(Materiais[[#This Row],[Qtde.]]*Materiais[[#This Row],[Custo Unitário
Sem Tributos (R$)]])</f>
        <v>0</v>
      </c>
      <c r="J6" s="92">
        <v>0</v>
      </c>
      <c r="K6" s="140">
        <f>Materiais[[#This Row],[Custo Total
Sem Tributos (R$)]]*Materiais[[#This Row],[IPI
(%)]]+Materiais[[#This Row],[Custo Total
Sem Tributos (R$)]]</f>
        <v>0</v>
      </c>
      <c r="L6" s="92">
        <v>0.1</v>
      </c>
      <c r="M6" s="76">
        <f>Materiais[[#This Row],[Custo Total
Com IPI (R$)]]/(1-Materiais[[#This Row],[Margem
(%)]])</f>
        <v>0</v>
      </c>
      <c r="N6" s="16">
        <f>Materiais[[#This Row],[Valor Venda c/ Potencial Desconto  em Material (R$)]]-Materiais[[#This Row],[Custo Total
Com IPI (R$)]]</f>
        <v>0</v>
      </c>
      <c r="O6" s="93">
        <f>Materiais[[#This Row],[Valor Total
Com Margem
Sem Tributos   (R$)]]/(1-('Valores Finais'!$C$10))</f>
        <v>0</v>
      </c>
      <c r="P6" s="93">
        <f>Materiais[[#This Row],[Valor Venda c/ Potencial Desconto  em Material (R$)]]/(1-('Valores Finais'!$B$6))</f>
        <v>0</v>
      </c>
      <c r="Q6" s="84">
        <f>'Valores Finais'!$B$10</f>
        <v>0.12</v>
      </c>
      <c r="R6" s="76">
        <f>Materiais[[#This Row],[Valor Venda c/ Comissões (R$)]]/(1-Materiais[[#This Row],[Tributos
(%)]])-Materiais[[#This Row],[Valor Venda c/ Comissões (R$)]]</f>
        <v>0</v>
      </c>
      <c r="S6" s="76">
        <f>Materiais[[#This Row],[Valor Venda c/ Comissões (R$)]]+Materiais[[#This Row],[Tributos
(R$)]]</f>
        <v>0</v>
      </c>
      <c r="T6" s="185"/>
      <c r="U6" s="186">
        <f ca="1">IF(Materiais[[#This Row],[Data Update]] = "",0,IF(_xlfn.DAYS(NOW(),Materiais[[#This Row],[Data Update]])&lt;=0,0,_xlfn.DAYS(NOW(),Materiais[[#This Row],[Data Update]])))</f>
        <v>0</v>
      </c>
    </row>
    <row r="7" spans="1:21" s="51" customFormat="1" x14ac:dyDescent="0.2">
      <c r="A7" s="46"/>
      <c r="B7" s="46"/>
      <c r="C7" s="46"/>
      <c r="D7" s="46"/>
      <c r="E7" s="46"/>
      <c r="F7" s="138"/>
      <c r="G7" s="129"/>
      <c r="H7" s="180"/>
      <c r="I7" s="5">
        <f>(Materiais[[#This Row],[Qtde.]]*Materiais[[#This Row],[Custo Unitário
Sem Tributos (R$)]])</f>
        <v>0</v>
      </c>
      <c r="J7" s="92">
        <v>0</v>
      </c>
      <c r="K7" s="140">
        <f>Materiais[[#This Row],[Custo Total
Sem Tributos (R$)]]*Materiais[[#This Row],[IPI
(%)]]+Materiais[[#This Row],[Custo Total
Sem Tributos (R$)]]</f>
        <v>0</v>
      </c>
      <c r="L7" s="92">
        <v>0.1</v>
      </c>
      <c r="M7" s="76">
        <f>Materiais[[#This Row],[Custo Total
Com IPI (R$)]]/(1-Materiais[[#This Row],[Margem
(%)]])</f>
        <v>0</v>
      </c>
      <c r="N7" s="16">
        <f>Materiais[[#This Row],[Valor Venda c/ Potencial Desconto  em Material (R$)]]-Materiais[[#This Row],[Custo Total
Com IPI (R$)]]</f>
        <v>0</v>
      </c>
      <c r="O7" s="93">
        <f>Materiais[[#This Row],[Valor Total
Com Margem
Sem Tributos   (R$)]]/(1-('Valores Finais'!$C$10))</f>
        <v>0</v>
      </c>
      <c r="P7" s="93">
        <f>Materiais[[#This Row],[Valor Venda c/ Potencial Desconto  em Material (R$)]]/(1-('Valores Finais'!$B$6))</f>
        <v>0</v>
      </c>
      <c r="Q7" s="84">
        <f>'Valores Finais'!$B$10</f>
        <v>0.12</v>
      </c>
      <c r="R7" s="76">
        <f>Materiais[[#This Row],[Valor Venda c/ Comissões (R$)]]/(1-Materiais[[#This Row],[Tributos
(%)]])-Materiais[[#This Row],[Valor Venda c/ Comissões (R$)]]</f>
        <v>0</v>
      </c>
      <c r="S7" s="76">
        <f>Materiais[[#This Row],[Valor Venda c/ Comissões (R$)]]+Materiais[[#This Row],[Tributos
(R$)]]</f>
        <v>0</v>
      </c>
      <c r="T7" s="185"/>
      <c r="U7" s="186">
        <f ca="1">IF(Materiais[[#This Row],[Data Update]] = "",0,IF(_xlfn.DAYS(NOW(),Materiais[[#This Row],[Data Update]])&lt;=0,0,_xlfn.DAYS(NOW(),Materiais[[#This Row],[Data Update]])))</f>
        <v>0</v>
      </c>
    </row>
    <row r="8" spans="1:21" s="51" customFormat="1" x14ac:dyDescent="0.2">
      <c r="A8" s="46"/>
      <c r="B8" s="46"/>
      <c r="C8" s="46"/>
      <c r="D8" s="46"/>
      <c r="E8" s="46"/>
      <c r="F8" s="138"/>
      <c r="G8" s="129"/>
      <c r="H8" s="180"/>
      <c r="I8" s="5">
        <f>(Materiais[[#This Row],[Qtde.]]*Materiais[[#This Row],[Custo Unitário
Sem Tributos (R$)]])</f>
        <v>0</v>
      </c>
      <c r="J8" s="92">
        <v>0</v>
      </c>
      <c r="K8" s="140">
        <f>Materiais[[#This Row],[Custo Total
Sem Tributos (R$)]]*Materiais[[#This Row],[IPI
(%)]]+Materiais[[#This Row],[Custo Total
Sem Tributos (R$)]]</f>
        <v>0</v>
      </c>
      <c r="L8" s="92">
        <v>0.1</v>
      </c>
      <c r="M8" s="76">
        <f>Materiais[[#This Row],[Custo Total
Com IPI (R$)]]/(1-Materiais[[#This Row],[Margem
(%)]])</f>
        <v>0</v>
      </c>
      <c r="N8" s="16">
        <f>Materiais[[#This Row],[Valor Venda c/ Potencial Desconto  em Material (R$)]]-Materiais[[#This Row],[Custo Total
Com IPI (R$)]]</f>
        <v>0</v>
      </c>
      <c r="O8" s="93">
        <f>Materiais[[#This Row],[Valor Total
Com Margem
Sem Tributos   (R$)]]/(1-('Valores Finais'!$C$10))</f>
        <v>0</v>
      </c>
      <c r="P8" s="93">
        <f>Materiais[[#This Row],[Valor Venda c/ Potencial Desconto  em Material (R$)]]/(1-('Valores Finais'!$B$6))</f>
        <v>0</v>
      </c>
      <c r="Q8" s="84">
        <f>'Valores Finais'!$B$10</f>
        <v>0.12</v>
      </c>
      <c r="R8" s="76">
        <f>Materiais[[#This Row],[Valor Venda c/ Comissões (R$)]]/(1-Materiais[[#This Row],[Tributos
(%)]])-Materiais[[#This Row],[Valor Venda c/ Comissões (R$)]]</f>
        <v>0</v>
      </c>
      <c r="S8" s="76">
        <f>Materiais[[#This Row],[Valor Venda c/ Comissões (R$)]]+Materiais[[#This Row],[Tributos
(R$)]]</f>
        <v>0</v>
      </c>
      <c r="T8" s="185"/>
      <c r="U8" s="186">
        <f ca="1">IF(Materiais[[#This Row],[Data Update]] = "",0,IF(_xlfn.DAYS(NOW(),Materiais[[#This Row],[Data Update]])&lt;=0,0,_xlfn.DAYS(NOW(),Materiais[[#This Row],[Data Update]])))</f>
        <v>0</v>
      </c>
    </row>
    <row r="9" spans="1:21" s="51" customFormat="1" x14ac:dyDescent="0.2">
      <c r="A9" s="46"/>
      <c r="B9" s="46"/>
      <c r="C9" s="46"/>
      <c r="D9" s="46"/>
      <c r="E9" s="46"/>
      <c r="F9" s="138"/>
      <c r="G9" s="129"/>
      <c r="H9" s="180"/>
      <c r="I9" s="5">
        <f>(Materiais[[#This Row],[Qtde.]]*Materiais[[#This Row],[Custo Unitário
Sem Tributos (R$)]])</f>
        <v>0</v>
      </c>
      <c r="J9" s="92">
        <v>0</v>
      </c>
      <c r="K9" s="140">
        <f>Materiais[[#This Row],[Custo Total
Sem Tributos (R$)]]*Materiais[[#This Row],[IPI
(%)]]+Materiais[[#This Row],[Custo Total
Sem Tributos (R$)]]</f>
        <v>0</v>
      </c>
      <c r="L9" s="92">
        <v>0.1</v>
      </c>
      <c r="M9" s="76">
        <f>Materiais[[#This Row],[Custo Total
Com IPI (R$)]]/(1-Materiais[[#This Row],[Margem
(%)]])</f>
        <v>0</v>
      </c>
      <c r="N9" s="16">
        <f>Materiais[[#This Row],[Valor Venda c/ Potencial Desconto  em Material (R$)]]-Materiais[[#This Row],[Custo Total
Com IPI (R$)]]</f>
        <v>0</v>
      </c>
      <c r="O9" s="93">
        <f>Materiais[[#This Row],[Valor Total
Com Margem
Sem Tributos   (R$)]]/(1-('Valores Finais'!$C$10))</f>
        <v>0</v>
      </c>
      <c r="P9" s="93">
        <f>Materiais[[#This Row],[Valor Venda c/ Potencial Desconto  em Material (R$)]]/(1-('Valores Finais'!$B$6))</f>
        <v>0</v>
      </c>
      <c r="Q9" s="84">
        <f>'Valores Finais'!$B$10</f>
        <v>0.12</v>
      </c>
      <c r="R9" s="76">
        <f>Materiais[[#This Row],[Valor Venda c/ Comissões (R$)]]/(1-Materiais[[#This Row],[Tributos
(%)]])-Materiais[[#This Row],[Valor Venda c/ Comissões (R$)]]</f>
        <v>0</v>
      </c>
      <c r="S9" s="76">
        <f>Materiais[[#This Row],[Valor Venda c/ Comissões (R$)]]+Materiais[[#This Row],[Tributos
(R$)]]</f>
        <v>0</v>
      </c>
      <c r="T9" s="185"/>
      <c r="U9" s="186">
        <f ca="1">IF(Materiais[[#This Row],[Data Update]] = "",0,IF(_xlfn.DAYS(NOW(),Materiais[[#This Row],[Data Update]])&lt;=0,0,_xlfn.DAYS(NOW(),Materiais[[#This Row],[Data Update]])))</f>
        <v>0</v>
      </c>
    </row>
    <row r="10" spans="1:21" s="51" customFormat="1" x14ac:dyDescent="0.2">
      <c r="A10" s="46"/>
      <c r="B10" s="46"/>
      <c r="C10" s="46"/>
      <c r="D10" s="46"/>
      <c r="E10" s="46"/>
      <c r="F10" s="138"/>
      <c r="G10" s="129"/>
      <c r="H10" s="180"/>
      <c r="I10" s="5">
        <f>(Materiais[[#This Row],[Qtde.]]*Materiais[[#This Row],[Custo Unitário
Sem Tributos (R$)]])</f>
        <v>0</v>
      </c>
      <c r="J10" s="92">
        <v>0</v>
      </c>
      <c r="K10" s="140">
        <f>Materiais[[#This Row],[Custo Total
Sem Tributos (R$)]]*Materiais[[#This Row],[IPI
(%)]]+Materiais[[#This Row],[Custo Total
Sem Tributos (R$)]]</f>
        <v>0</v>
      </c>
      <c r="L10" s="92">
        <v>0.1</v>
      </c>
      <c r="M10" s="76">
        <f>Materiais[[#This Row],[Custo Total
Com IPI (R$)]]/(1-Materiais[[#This Row],[Margem
(%)]])</f>
        <v>0</v>
      </c>
      <c r="N10" s="16">
        <f>Materiais[[#This Row],[Valor Venda c/ Potencial Desconto  em Material (R$)]]-Materiais[[#This Row],[Custo Total
Com IPI (R$)]]</f>
        <v>0</v>
      </c>
      <c r="O10" s="93">
        <f>Materiais[[#This Row],[Valor Total
Com Margem
Sem Tributos   (R$)]]/(1-('Valores Finais'!$C$10))</f>
        <v>0</v>
      </c>
      <c r="P10" s="93">
        <f>Materiais[[#This Row],[Valor Venda c/ Potencial Desconto  em Material (R$)]]/(1-('Valores Finais'!$B$6))</f>
        <v>0</v>
      </c>
      <c r="Q10" s="84">
        <f>'Valores Finais'!$B$10</f>
        <v>0.12</v>
      </c>
      <c r="R10" s="76">
        <f>Materiais[[#This Row],[Valor Venda c/ Comissões (R$)]]/(1-Materiais[[#This Row],[Tributos
(%)]])-Materiais[[#This Row],[Valor Venda c/ Comissões (R$)]]</f>
        <v>0</v>
      </c>
      <c r="S10" s="76">
        <f>Materiais[[#This Row],[Valor Venda c/ Comissões (R$)]]+Materiais[[#This Row],[Tributos
(R$)]]</f>
        <v>0</v>
      </c>
      <c r="T10" s="185"/>
      <c r="U10" s="186">
        <f ca="1">IF(Materiais[[#This Row],[Data Update]] = "",0,IF(_xlfn.DAYS(NOW(),Materiais[[#This Row],[Data Update]])&lt;=0,0,_xlfn.DAYS(NOW(),Materiais[[#This Row],[Data Update]])))</f>
        <v>0</v>
      </c>
    </row>
    <row r="11" spans="1:21" s="51" customFormat="1" x14ac:dyDescent="0.2">
      <c r="A11" s="46"/>
      <c r="B11" s="46"/>
      <c r="C11" s="46"/>
      <c r="D11" s="46"/>
      <c r="E11" s="46"/>
      <c r="F11" s="138"/>
      <c r="G11" s="129"/>
      <c r="H11" s="180"/>
      <c r="I11" s="5">
        <f>(Materiais[[#This Row],[Qtde.]]*Materiais[[#This Row],[Custo Unitário
Sem Tributos (R$)]])</f>
        <v>0</v>
      </c>
      <c r="J11" s="92">
        <v>0</v>
      </c>
      <c r="K11" s="140">
        <f>Materiais[[#This Row],[Custo Total
Sem Tributos (R$)]]*Materiais[[#This Row],[IPI
(%)]]+Materiais[[#This Row],[Custo Total
Sem Tributos (R$)]]</f>
        <v>0</v>
      </c>
      <c r="L11" s="92">
        <v>0.1</v>
      </c>
      <c r="M11" s="76">
        <f>Materiais[[#This Row],[Custo Total
Com IPI (R$)]]/(1-Materiais[[#This Row],[Margem
(%)]])</f>
        <v>0</v>
      </c>
      <c r="N11" s="16">
        <f>Materiais[[#This Row],[Valor Venda c/ Potencial Desconto  em Material (R$)]]-Materiais[[#This Row],[Custo Total
Com IPI (R$)]]</f>
        <v>0</v>
      </c>
      <c r="O11" s="93">
        <f>Materiais[[#This Row],[Valor Total
Com Margem
Sem Tributos   (R$)]]/(1-('Valores Finais'!$C$10))</f>
        <v>0</v>
      </c>
      <c r="P11" s="93">
        <f>Materiais[[#This Row],[Valor Venda c/ Potencial Desconto  em Material (R$)]]/(1-('Valores Finais'!$B$6))</f>
        <v>0</v>
      </c>
      <c r="Q11" s="84">
        <f>'Valores Finais'!$B$10</f>
        <v>0.12</v>
      </c>
      <c r="R11" s="76">
        <f>Materiais[[#This Row],[Valor Venda c/ Comissões (R$)]]/(1-Materiais[[#This Row],[Tributos
(%)]])-Materiais[[#This Row],[Valor Venda c/ Comissões (R$)]]</f>
        <v>0</v>
      </c>
      <c r="S11" s="76">
        <f>Materiais[[#This Row],[Valor Venda c/ Comissões (R$)]]+Materiais[[#This Row],[Tributos
(R$)]]</f>
        <v>0</v>
      </c>
      <c r="T11" s="185"/>
      <c r="U11" s="186">
        <f ca="1">IF(Materiais[[#This Row],[Data Update]] = "",0,IF(_xlfn.DAYS(NOW(),Materiais[[#This Row],[Data Update]])&lt;=0,0,_xlfn.DAYS(NOW(),Materiais[[#This Row],[Data Update]])))</f>
        <v>0</v>
      </c>
    </row>
    <row r="12" spans="1:21" s="51" customFormat="1" x14ac:dyDescent="0.2">
      <c r="A12" s="46"/>
      <c r="B12" s="46"/>
      <c r="C12" s="46"/>
      <c r="D12" s="46"/>
      <c r="E12" s="46"/>
      <c r="F12" s="138"/>
      <c r="G12" s="129"/>
      <c r="H12" s="180"/>
      <c r="I12" s="5">
        <f>(Materiais[[#This Row],[Qtde.]]*Materiais[[#This Row],[Custo Unitário
Sem Tributos (R$)]])</f>
        <v>0</v>
      </c>
      <c r="J12" s="92">
        <v>0</v>
      </c>
      <c r="K12" s="140">
        <f>Materiais[[#This Row],[Custo Total
Sem Tributos (R$)]]*Materiais[[#This Row],[IPI
(%)]]+Materiais[[#This Row],[Custo Total
Sem Tributos (R$)]]</f>
        <v>0</v>
      </c>
      <c r="L12" s="92">
        <v>0.1</v>
      </c>
      <c r="M12" s="76">
        <f>Materiais[[#This Row],[Custo Total
Com IPI (R$)]]/(1-Materiais[[#This Row],[Margem
(%)]])</f>
        <v>0</v>
      </c>
      <c r="N12" s="16">
        <f>Materiais[[#This Row],[Valor Venda c/ Potencial Desconto  em Material (R$)]]-Materiais[[#This Row],[Custo Total
Com IPI (R$)]]</f>
        <v>0</v>
      </c>
      <c r="O12" s="93">
        <f>Materiais[[#This Row],[Valor Total
Com Margem
Sem Tributos   (R$)]]/(1-('Valores Finais'!$C$10))</f>
        <v>0</v>
      </c>
      <c r="P12" s="93">
        <f>Materiais[[#This Row],[Valor Venda c/ Potencial Desconto  em Material (R$)]]/(1-('Valores Finais'!$B$6))</f>
        <v>0</v>
      </c>
      <c r="Q12" s="84">
        <f>'Valores Finais'!$B$10</f>
        <v>0.12</v>
      </c>
      <c r="R12" s="76">
        <f>Materiais[[#This Row],[Valor Venda c/ Comissões (R$)]]/(1-Materiais[[#This Row],[Tributos
(%)]])-Materiais[[#This Row],[Valor Venda c/ Comissões (R$)]]</f>
        <v>0</v>
      </c>
      <c r="S12" s="76">
        <f>Materiais[[#This Row],[Valor Venda c/ Comissões (R$)]]+Materiais[[#This Row],[Tributos
(R$)]]</f>
        <v>0</v>
      </c>
      <c r="T12" s="185"/>
      <c r="U12" s="186">
        <f ca="1">IF(Materiais[[#This Row],[Data Update]] = "",0,IF(_xlfn.DAYS(NOW(),Materiais[[#This Row],[Data Update]])&lt;=0,0,_xlfn.DAYS(NOW(),Materiais[[#This Row],[Data Update]])))</f>
        <v>0</v>
      </c>
    </row>
    <row r="13" spans="1:21" s="51" customFormat="1" x14ac:dyDescent="0.2">
      <c r="A13" s="46"/>
      <c r="B13" s="46"/>
      <c r="C13" s="46"/>
      <c r="D13" s="46"/>
      <c r="E13" s="46"/>
      <c r="F13" s="138"/>
      <c r="G13" s="129"/>
      <c r="H13" s="180"/>
      <c r="I13" s="5">
        <f>(Materiais[[#This Row],[Qtde.]]*Materiais[[#This Row],[Custo Unitário
Sem Tributos (R$)]])</f>
        <v>0</v>
      </c>
      <c r="J13" s="92">
        <v>0</v>
      </c>
      <c r="K13" s="140">
        <f>Materiais[[#This Row],[Custo Total
Sem Tributos (R$)]]*Materiais[[#This Row],[IPI
(%)]]+Materiais[[#This Row],[Custo Total
Sem Tributos (R$)]]</f>
        <v>0</v>
      </c>
      <c r="L13" s="92">
        <v>0.1</v>
      </c>
      <c r="M13" s="76">
        <f>Materiais[[#This Row],[Custo Total
Com IPI (R$)]]/(1-Materiais[[#This Row],[Margem
(%)]])</f>
        <v>0</v>
      </c>
      <c r="N13" s="16">
        <f>Materiais[[#This Row],[Valor Venda c/ Potencial Desconto  em Material (R$)]]-Materiais[[#This Row],[Custo Total
Com IPI (R$)]]</f>
        <v>0</v>
      </c>
      <c r="O13" s="93">
        <f>Materiais[[#This Row],[Valor Total
Com Margem
Sem Tributos   (R$)]]/(1-('Valores Finais'!$C$10))</f>
        <v>0</v>
      </c>
      <c r="P13" s="93">
        <f>Materiais[[#This Row],[Valor Venda c/ Potencial Desconto  em Material (R$)]]/(1-('Valores Finais'!$B$6))</f>
        <v>0</v>
      </c>
      <c r="Q13" s="84">
        <f>'Valores Finais'!$B$10</f>
        <v>0.12</v>
      </c>
      <c r="R13" s="76">
        <f>Materiais[[#This Row],[Valor Venda c/ Comissões (R$)]]/(1-Materiais[[#This Row],[Tributos
(%)]])-Materiais[[#This Row],[Valor Venda c/ Comissões (R$)]]</f>
        <v>0</v>
      </c>
      <c r="S13" s="76">
        <f>Materiais[[#This Row],[Valor Venda c/ Comissões (R$)]]+Materiais[[#This Row],[Tributos
(R$)]]</f>
        <v>0</v>
      </c>
      <c r="T13" s="185"/>
      <c r="U13" s="186">
        <f ca="1">IF(Materiais[[#This Row],[Data Update]] = "",0,IF(_xlfn.DAYS(NOW(),Materiais[[#This Row],[Data Update]])&lt;=0,0,_xlfn.DAYS(NOW(),Materiais[[#This Row],[Data Update]])))</f>
        <v>0</v>
      </c>
    </row>
    <row r="14" spans="1:21" s="51" customFormat="1" x14ac:dyDescent="0.2">
      <c r="A14" s="46"/>
      <c r="B14" s="46"/>
      <c r="C14" s="46"/>
      <c r="D14" s="46"/>
      <c r="E14" s="46"/>
      <c r="F14" s="138"/>
      <c r="G14" s="129"/>
      <c r="H14" s="180"/>
      <c r="I14" s="5">
        <f>(Materiais[[#This Row],[Qtde.]]*Materiais[[#This Row],[Custo Unitário
Sem Tributos (R$)]])</f>
        <v>0</v>
      </c>
      <c r="J14" s="92">
        <v>0</v>
      </c>
      <c r="K14" s="140">
        <f>Materiais[[#This Row],[Custo Total
Sem Tributos (R$)]]*Materiais[[#This Row],[IPI
(%)]]+Materiais[[#This Row],[Custo Total
Sem Tributos (R$)]]</f>
        <v>0</v>
      </c>
      <c r="L14" s="92">
        <v>0.1</v>
      </c>
      <c r="M14" s="76">
        <f>Materiais[[#This Row],[Custo Total
Com IPI (R$)]]/(1-Materiais[[#This Row],[Margem
(%)]])</f>
        <v>0</v>
      </c>
      <c r="N14" s="16">
        <f>Materiais[[#This Row],[Valor Venda c/ Potencial Desconto  em Material (R$)]]-Materiais[[#This Row],[Custo Total
Com IPI (R$)]]</f>
        <v>0</v>
      </c>
      <c r="O14" s="93">
        <f>Materiais[[#This Row],[Valor Total
Com Margem
Sem Tributos   (R$)]]/(1-('Valores Finais'!$C$10))</f>
        <v>0</v>
      </c>
      <c r="P14" s="93">
        <f>Materiais[[#This Row],[Valor Venda c/ Potencial Desconto  em Material (R$)]]/(1-('Valores Finais'!$B$6))</f>
        <v>0</v>
      </c>
      <c r="Q14" s="84">
        <f>'Valores Finais'!$B$10</f>
        <v>0.12</v>
      </c>
      <c r="R14" s="76">
        <f>Materiais[[#This Row],[Valor Venda c/ Comissões (R$)]]/(1-Materiais[[#This Row],[Tributos
(%)]])-Materiais[[#This Row],[Valor Venda c/ Comissões (R$)]]</f>
        <v>0</v>
      </c>
      <c r="S14" s="76">
        <f>Materiais[[#This Row],[Valor Venda c/ Comissões (R$)]]+Materiais[[#This Row],[Tributos
(R$)]]</f>
        <v>0</v>
      </c>
      <c r="T14" s="185"/>
      <c r="U14" s="186">
        <f ca="1">IF(Materiais[[#This Row],[Data Update]] = "",0,IF(_xlfn.DAYS(NOW(),Materiais[[#This Row],[Data Update]])&lt;=0,0,_xlfn.DAYS(NOW(),Materiais[[#This Row],[Data Update]])))</f>
        <v>0</v>
      </c>
    </row>
    <row r="15" spans="1:21" s="51" customFormat="1" x14ac:dyDescent="0.2">
      <c r="A15" s="46"/>
      <c r="B15" s="46"/>
      <c r="C15" s="46"/>
      <c r="D15" s="46"/>
      <c r="E15" s="46"/>
      <c r="F15" s="138"/>
      <c r="G15" s="129"/>
      <c r="H15" s="180"/>
      <c r="I15" s="5">
        <f>(Materiais[[#This Row],[Qtde.]]*Materiais[[#This Row],[Custo Unitário
Sem Tributos (R$)]])</f>
        <v>0</v>
      </c>
      <c r="J15" s="92">
        <v>0</v>
      </c>
      <c r="K15" s="140">
        <f>Materiais[[#This Row],[Custo Total
Sem Tributos (R$)]]*Materiais[[#This Row],[IPI
(%)]]+Materiais[[#This Row],[Custo Total
Sem Tributos (R$)]]</f>
        <v>0</v>
      </c>
      <c r="L15" s="92">
        <v>0.1</v>
      </c>
      <c r="M15" s="76">
        <f>Materiais[[#This Row],[Custo Total
Com IPI (R$)]]/(1-Materiais[[#This Row],[Margem
(%)]])</f>
        <v>0</v>
      </c>
      <c r="N15" s="16">
        <f>Materiais[[#This Row],[Valor Venda c/ Potencial Desconto  em Material (R$)]]-Materiais[[#This Row],[Custo Total
Com IPI (R$)]]</f>
        <v>0</v>
      </c>
      <c r="O15" s="93">
        <f>Materiais[[#This Row],[Valor Total
Com Margem
Sem Tributos   (R$)]]/(1-('Valores Finais'!$C$10))</f>
        <v>0</v>
      </c>
      <c r="P15" s="93">
        <f>Materiais[[#This Row],[Valor Venda c/ Potencial Desconto  em Material (R$)]]/(1-('Valores Finais'!$B$6))</f>
        <v>0</v>
      </c>
      <c r="Q15" s="84">
        <f>'Valores Finais'!$B$10</f>
        <v>0.12</v>
      </c>
      <c r="R15" s="76">
        <f>Materiais[[#This Row],[Valor Venda c/ Comissões (R$)]]/(1-Materiais[[#This Row],[Tributos
(%)]])-Materiais[[#This Row],[Valor Venda c/ Comissões (R$)]]</f>
        <v>0</v>
      </c>
      <c r="S15" s="76">
        <f>Materiais[[#This Row],[Valor Venda c/ Comissões (R$)]]+Materiais[[#This Row],[Tributos
(R$)]]</f>
        <v>0</v>
      </c>
      <c r="T15" s="185"/>
      <c r="U15" s="186">
        <f ca="1">IF(Materiais[[#This Row],[Data Update]] = "",0,IF(_xlfn.DAYS(NOW(),Materiais[[#This Row],[Data Update]])&lt;=0,0,_xlfn.DAYS(NOW(),Materiais[[#This Row],[Data Update]])))</f>
        <v>0</v>
      </c>
    </row>
    <row r="16" spans="1:21" s="51" customFormat="1" x14ac:dyDescent="0.2">
      <c r="A16" s="46"/>
      <c r="B16" s="46"/>
      <c r="C16" s="46"/>
      <c r="D16" s="46"/>
      <c r="E16" s="46"/>
      <c r="F16" s="138"/>
      <c r="G16" s="129"/>
      <c r="H16" s="180"/>
      <c r="I16" s="5">
        <f>(Materiais[[#This Row],[Qtde.]]*Materiais[[#This Row],[Custo Unitário
Sem Tributos (R$)]])</f>
        <v>0</v>
      </c>
      <c r="J16" s="92">
        <v>0</v>
      </c>
      <c r="K16" s="140">
        <f>Materiais[[#This Row],[Custo Total
Sem Tributos (R$)]]*Materiais[[#This Row],[IPI
(%)]]+Materiais[[#This Row],[Custo Total
Sem Tributos (R$)]]</f>
        <v>0</v>
      </c>
      <c r="L16" s="92">
        <v>0.1</v>
      </c>
      <c r="M16" s="76">
        <f>Materiais[[#This Row],[Custo Total
Com IPI (R$)]]/(1-Materiais[[#This Row],[Margem
(%)]])</f>
        <v>0</v>
      </c>
      <c r="N16" s="16">
        <f>Materiais[[#This Row],[Valor Venda c/ Potencial Desconto  em Material (R$)]]-Materiais[[#This Row],[Custo Total
Com IPI (R$)]]</f>
        <v>0</v>
      </c>
      <c r="O16" s="93">
        <f>Materiais[[#This Row],[Valor Total
Com Margem
Sem Tributos   (R$)]]/(1-('Valores Finais'!$C$10))</f>
        <v>0</v>
      </c>
      <c r="P16" s="93">
        <f>Materiais[[#This Row],[Valor Venda c/ Potencial Desconto  em Material (R$)]]/(1-('Valores Finais'!$B$6))</f>
        <v>0</v>
      </c>
      <c r="Q16" s="84">
        <f>'Valores Finais'!$B$10</f>
        <v>0.12</v>
      </c>
      <c r="R16" s="76">
        <f>Materiais[[#This Row],[Valor Venda c/ Comissões (R$)]]/(1-Materiais[[#This Row],[Tributos
(%)]])-Materiais[[#This Row],[Valor Venda c/ Comissões (R$)]]</f>
        <v>0</v>
      </c>
      <c r="S16" s="76">
        <f>Materiais[[#This Row],[Valor Venda c/ Comissões (R$)]]+Materiais[[#This Row],[Tributos
(R$)]]</f>
        <v>0</v>
      </c>
      <c r="T16" s="185"/>
      <c r="U16" s="186">
        <f ca="1">IF(Materiais[[#This Row],[Data Update]] = "",0,IF(_xlfn.DAYS(NOW(),Materiais[[#This Row],[Data Update]])&lt;=0,0,_xlfn.DAYS(NOW(),Materiais[[#This Row],[Data Update]])))</f>
        <v>0</v>
      </c>
    </row>
    <row r="17" spans="1:21" s="51" customFormat="1" x14ac:dyDescent="0.2">
      <c r="A17" s="46"/>
      <c r="B17" s="46"/>
      <c r="C17" s="46"/>
      <c r="D17" s="46"/>
      <c r="E17" s="46"/>
      <c r="F17" s="138"/>
      <c r="G17" s="129"/>
      <c r="H17" s="180"/>
      <c r="I17" s="5">
        <f>(Materiais[[#This Row],[Qtde.]]*Materiais[[#This Row],[Custo Unitário
Sem Tributos (R$)]])</f>
        <v>0</v>
      </c>
      <c r="J17" s="92">
        <v>0</v>
      </c>
      <c r="K17" s="140">
        <f>Materiais[[#This Row],[Custo Total
Sem Tributos (R$)]]*Materiais[[#This Row],[IPI
(%)]]+Materiais[[#This Row],[Custo Total
Sem Tributos (R$)]]</f>
        <v>0</v>
      </c>
      <c r="L17" s="92">
        <v>0.1</v>
      </c>
      <c r="M17" s="76">
        <f>Materiais[[#This Row],[Custo Total
Com IPI (R$)]]/(1-Materiais[[#This Row],[Margem
(%)]])</f>
        <v>0</v>
      </c>
      <c r="N17" s="16">
        <f>Materiais[[#This Row],[Valor Venda c/ Potencial Desconto  em Material (R$)]]-Materiais[[#This Row],[Custo Total
Com IPI (R$)]]</f>
        <v>0</v>
      </c>
      <c r="O17" s="93">
        <f>Materiais[[#This Row],[Valor Total
Com Margem
Sem Tributos   (R$)]]/(1-('Valores Finais'!$C$10))</f>
        <v>0</v>
      </c>
      <c r="P17" s="93">
        <f>Materiais[[#This Row],[Valor Venda c/ Potencial Desconto  em Material (R$)]]/(1-('Valores Finais'!$B$6))</f>
        <v>0</v>
      </c>
      <c r="Q17" s="84">
        <f>'Valores Finais'!$B$10</f>
        <v>0.12</v>
      </c>
      <c r="R17" s="76">
        <f>Materiais[[#This Row],[Valor Venda c/ Comissões (R$)]]/(1-Materiais[[#This Row],[Tributos
(%)]])-Materiais[[#This Row],[Valor Venda c/ Comissões (R$)]]</f>
        <v>0</v>
      </c>
      <c r="S17" s="76">
        <f>Materiais[[#This Row],[Valor Venda c/ Comissões (R$)]]+Materiais[[#This Row],[Tributos
(R$)]]</f>
        <v>0</v>
      </c>
      <c r="T17" s="185"/>
      <c r="U17" s="186">
        <f ca="1">IF(Materiais[[#This Row],[Data Update]] = "",0,IF(_xlfn.DAYS(NOW(),Materiais[[#This Row],[Data Update]])&lt;=0,0,_xlfn.DAYS(NOW(),Materiais[[#This Row],[Data Update]])))</f>
        <v>0</v>
      </c>
    </row>
    <row r="18" spans="1:21" s="51" customFormat="1" x14ac:dyDescent="0.2">
      <c r="A18" s="46"/>
      <c r="B18" s="46"/>
      <c r="C18" s="46"/>
      <c r="D18" s="46"/>
      <c r="E18" s="46"/>
      <c r="F18" s="138"/>
      <c r="G18" s="129"/>
      <c r="H18" s="180"/>
      <c r="I18" s="5">
        <f>(Materiais[[#This Row],[Qtde.]]*Materiais[[#This Row],[Custo Unitário
Sem Tributos (R$)]])</f>
        <v>0</v>
      </c>
      <c r="J18" s="92">
        <v>0</v>
      </c>
      <c r="K18" s="140">
        <f>Materiais[[#This Row],[Custo Total
Sem Tributos (R$)]]*Materiais[[#This Row],[IPI
(%)]]+Materiais[[#This Row],[Custo Total
Sem Tributos (R$)]]</f>
        <v>0</v>
      </c>
      <c r="L18" s="92">
        <v>0.1</v>
      </c>
      <c r="M18" s="76">
        <f>Materiais[[#This Row],[Custo Total
Com IPI (R$)]]/(1-Materiais[[#This Row],[Margem
(%)]])</f>
        <v>0</v>
      </c>
      <c r="N18" s="16">
        <f>Materiais[[#This Row],[Valor Venda c/ Potencial Desconto  em Material (R$)]]-Materiais[[#This Row],[Custo Total
Com IPI (R$)]]</f>
        <v>0</v>
      </c>
      <c r="O18" s="93">
        <f>Materiais[[#This Row],[Valor Total
Com Margem
Sem Tributos   (R$)]]/(1-('Valores Finais'!$C$10))</f>
        <v>0</v>
      </c>
      <c r="P18" s="93">
        <f>Materiais[[#This Row],[Valor Venda c/ Potencial Desconto  em Material (R$)]]/(1-('Valores Finais'!$B$6))</f>
        <v>0</v>
      </c>
      <c r="Q18" s="84">
        <f>'Valores Finais'!$B$10</f>
        <v>0.12</v>
      </c>
      <c r="R18" s="76">
        <f>Materiais[[#This Row],[Valor Venda c/ Comissões (R$)]]/(1-Materiais[[#This Row],[Tributos
(%)]])-Materiais[[#This Row],[Valor Venda c/ Comissões (R$)]]</f>
        <v>0</v>
      </c>
      <c r="S18" s="76">
        <f>Materiais[[#This Row],[Valor Venda c/ Comissões (R$)]]+Materiais[[#This Row],[Tributos
(R$)]]</f>
        <v>0</v>
      </c>
      <c r="T18" s="185"/>
      <c r="U18" s="186">
        <f ca="1">IF(Materiais[[#This Row],[Data Update]] = "",0,IF(_xlfn.DAYS(NOW(),Materiais[[#This Row],[Data Update]])&lt;=0,0,_xlfn.DAYS(NOW(),Materiais[[#This Row],[Data Update]])))</f>
        <v>0</v>
      </c>
    </row>
    <row r="19" spans="1:21" s="51" customFormat="1" x14ac:dyDescent="0.2">
      <c r="A19" s="46"/>
      <c r="B19" s="46"/>
      <c r="C19" s="46"/>
      <c r="D19" s="46"/>
      <c r="E19" s="46"/>
      <c r="F19" s="138"/>
      <c r="G19" s="129"/>
      <c r="H19" s="180"/>
      <c r="I19" s="5">
        <f>(Materiais[[#This Row],[Qtde.]]*Materiais[[#This Row],[Custo Unitário
Sem Tributos (R$)]])</f>
        <v>0</v>
      </c>
      <c r="J19" s="92">
        <v>0</v>
      </c>
      <c r="K19" s="140">
        <f>Materiais[[#This Row],[Custo Total
Sem Tributos (R$)]]*Materiais[[#This Row],[IPI
(%)]]+Materiais[[#This Row],[Custo Total
Sem Tributos (R$)]]</f>
        <v>0</v>
      </c>
      <c r="L19" s="92">
        <v>0.1</v>
      </c>
      <c r="M19" s="76">
        <f>Materiais[[#This Row],[Custo Total
Com IPI (R$)]]/(1-Materiais[[#This Row],[Margem
(%)]])</f>
        <v>0</v>
      </c>
      <c r="N19" s="16">
        <f>Materiais[[#This Row],[Valor Venda c/ Potencial Desconto  em Material (R$)]]-Materiais[[#This Row],[Custo Total
Com IPI (R$)]]</f>
        <v>0</v>
      </c>
      <c r="O19" s="93">
        <f>Materiais[[#This Row],[Valor Total
Com Margem
Sem Tributos   (R$)]]/(1-('Valores Finais'!$C$10))</f>
        <v>0</v>
      </c>
      <c r="P19" s="93">
        <f>Materiais[[#This Row],[Valor Venda c/ Potencial Desconto  em Material (R$)]]/(1-('Valores Finais'!$B$6))</f>
        <v>0</v>
      </c>
      <c r="Q19" s="84">
        <f>'Valores Finais'!$B$10</f>
        <v>0.12</v>
      </c>
      <c r="R19" s="76">
        <f>Materiais[[#This Row],[Valor Venda c/ Comissões (R$)]]/(1-Materiais[[#This Row],[Tributos
(%)]])-Materiais[[#This Row],[Valor Venda c/ Comissões (R$)]]</f>
        <v>0</v>
      </c>
      <c r="S19" s="76">
        <f>Materiais[[#This Row],[Valor Venda c/ Comissões (R$)]]+Materiais[[#This Row],[Tributos
(R$)]]</f>
        <v>0</v>
      </c>
      <c r="T19" s="185"/>
      <c r="U19" s="186">
        <f ca="1">IF(Materiais[[#This Row],[Data Update]] = "",0,IF(_xlfn.DAYS(NOW(),Materiais[[#This Row],[Data Update]])&lt;=0,0,_xlfn.DAYS(NOW(),Materiais[[#This Row],[Data Update]])))</f>
        <v>0</v>
      </c>
    </row>
    <row r="20" spans="1:21" s="51" customFormat="1" x14ac:dyDescent="0.2">
      <c r="A20" s="46"/>
      <c r="B20" s="46"/>
      <c r="C20" s="46"/>
      <c r="D20" s="46"/>
      <c r="E20" s="46"/>
      <c r="F20" s="138"/>
      <c r="G20" s="129"/>
      <c r="H20" s="180"/>
      <c r="I20" s="5">
        <f>(Materiais[[#This Row],[Qtde.]]*Materiais[[#This Row],[Custo Unitário
Sem Tributos (R$)]])</f>
        <v>0</v>
      </c>
      <c r="J20" s="92">
        <v>0</v>
      </c>
      <c r="K20" s="140">
        <f>Materiais[[#This Row],[Custo Total
Sem Tributos (R$)]]*Materiais[[#This Row],[IPI
(%)]]+Materiais[[#This Row],[Custo Total
Sem Tributos (R$)]]</f>
        <v>0</v>
      </c>
      <c r="L20" s="92">
        <v>0.1</v>
      </c>
      <c r="M20" s="76">
        <f>Materiais[[#This Row],[Custo Total
Com IPI (R$)]]/(1-Materiais[[#This Row],[Margem
(%)]])</f>
        <v>0</v>
      </c>
      <c r="N20" s="16">
        <f>Materiais[[#This Row],[Valor Venda c/ Potencial Desconto  em Material (R$)]]-Materiais[[#This Row],[Custo Total
Com IPI (R$)]]</f>
        <v>0</v>
      </c>
      <c r="O20" s="93">
        <f>Materiais[[#This Row],[Valor Total
Com Margem
Sem Tributos   (R$)]]/(1-('Valores Finais'!$C$10))</f>
        <v>0</v>
      </c>
      <c r="P20" s="93">
        <f>Materiais[[#This Row],[Valor Venda c/ Potencial Desconto  em Material (R$)]]/(1-('Valores Finais'!$B$6))</f>
        <v>0</v>
      </c>
      <c r="Q20" s="84">
        <f>'Valores Finais'!$B$10</f>
        <v>0.12</v>
      </c>
      <c r="R20" s="76">
        <f>Materiais[[#This Row],[Valor Venda c/ Comissões (R$)]]/(1-Materiais[[#This Row],[Tributos
(%)]])-Materiais[[#This Row],[Valor Venda c/ Comissões (R$)]]</f>
        <v>0</v>
      </c>
      <c r="S20" s="76">
        <f>Materiais[[#This Row],[Valor Venda c/ Comissões (R$)]]+Materiais[[#This Row],[Tributos
(R$)]]</f>
        <v>0</v>
      </c>
      <c r="T20" s="185"/>
      <c r="U20" s="186">
        <f ca="1">IF(Materiais[[#This Row],[Data Update]] = "",0,IF(_xlfn.DAYS(NOW(),Materiais[[#This Row],[Data Update]])&lt;=0,0,_xlfn.DAYS(NOW(),Materiais[[#This Row],[Data Update]])))</f>
        <v>0</v>
      </c>
    </row>
    <row r="21" spans="1:21" s="51" customFormat="1" x14ac:dyDescent="0.2">
      <c r="A21" s="46"/>
      <c r="B21" s="46"/>
      <c r="C21" s="46"/>
      <c r="D21" s="46"/>
      <c r="E21" s="46"/>
      <c r="F21" s="138"/>
      <c r="G21" s="129"/>
      <c r="H21" s="180"/>
      <c r="I21" s="5">
        <f>(Materiais[[#This Row],[Qtde.]]*Materiais[[#This Row],[Custo Unitário
Sem Tributos (R$)]])</f>
        <v>0</v>
      </c>
      <c r="J21" s="92">
        <v>0</v>
      </c>
      <c r="K21" s="140">
        <f>Materiais[[#This Row],[Custo Total
Sem Tributos (R$)]]*Materiais[[#This Row],[IPI
(%)]]+Materiais[[#This Row],[Custo Total
Sem Tributos (R$)]]</f>
        <v>0</v>
      </c>
      <c r="L21" s="92">
        <v>0.1</v>
      </c>
      <c r="M21" s="76">
        <f>Materiais[[#This Row],[Custo Total
Com IPI (R$)]]/(1-Materiais[[#This Row],[Margem
(%)]])</f>
        <v>0</v>
      </c>
      <c r="N21" s="16">
        <f>Materiais[[#This Row],[Valor Venda c/ Potencial Desconto  em Material (R$)]]-Materiais[[#This Row],[Custo Total
Com IPI (R$)]]</f>
        <v>0</v>
      </c>
      <c r="O21" s="93">
        <f>Materiais[[#This Row],[Valor Total
Com Margem
Sem Tributos   (R$)]]/(1-('Valores Finais'!$C$10))</f>
        <v>0</v>
      </c>
      <c r="P21" s="93">
        <f>Materiais[[#This Row],[Valor Venda c/ Potencial Desconto  em Material (R$)]]/(1-('Valores Finais'!$B$6))</f>
        <v>0</v>
      </c>
      <c r="Q21" s="84">
        <f>'Valores Finais'!$B$10</f>
        <v>0.12</v>
      </c>
      <c r="R21" s="76">
        <f>Materiais[[#This Row],[Valor Venda c/ Comissões (R$)]]/(1-Materiais[[#This Row],[Tributos
(%)]])-Materiais[[#This Row],[Valor Venda c/ Comissões (R$)]]</f>
        <v>0</v>
      </c>
      <c r="S21" s="76">
        <f>Materiais[[#This Row],[Valor Venda c/ Comissões (R$)]]+Materiais[[#This Row],[Tributos
(R$)]]</f>
        <v>0</v>
      </c>
      <c r="T21" s="185"/>
      <c r="U21" s="186">
        <f ca="1">IF(Materiais[[#This Row],[Data Update]] = "",0,IF(_xlfn.DAYS(NOW(),Materiais[[#This Row],[Data Update]])&lt;=0,0,_xlfn.DAYS(NOW(),Materiais[[#This Row],[Data Update]])))</f>
        <v>0</v>
      </c>
    </row>
    <row r="22" spans="1:21" s="51" customFormat="1" x14ac:dyDescent="0.2">
      <c r="A22" s="46"/>
      <c r="B22" s="46"/>
      <c r="C22" s="46"/>
      <c r="D22" s="46"/>
      <c r="E22" s="46"/>
      <c r="F22" s="138"/>
      <c r="G22" s="129"/>
      <c r="H22" s="180"/>
      <c r="I22" s="5">
        <f>(Materiais[[#This Row],[Qtde.]]*Materiais[[#This Row],[Custo Unitário
Sem Tributos (R$)]])</f>
        <v>0</v>
      </c>
      <c r="J22" s="92">
        <v>0</v>
      </c>
      <c r="K22" s="140">
        <f>Materiais[[#This Row],[Custo Total
Sem Tributos (R$)]]*Materiais[[#This Row],[IPI
(%)]]+Materiais[[#This Row],[Custo Total
Sem Tributos (R$)]]</f>
        <v>0</v>
      </c>
      <c r="L22" s="92">
        <v>0.1</v>
      </c>
      <c r="M22" s="76">
        <f>Materiais[[#This Row],[Custo Total
Com IPI (R$)]]/(1-Materiais[[#This Row],[Margem
(%)]])</f>
        <v>0</v>
      </c>
      <c r="N22" s="16">
        <f>Materiais[[#This Row],[Valor Venda c/ Potencial Desconto  em Material (R$)]]-Materiais[[#This Row],[Custo Total
Com IPI (R$)]]</f>
        <v>0</v>
      </c>
      <c r="O22" s="93">
        <f>Materiais[[#This Row],[Valor Total
Com Margem
Sem Tributos   (R$)]]/(1-('Valores Finais'!$C$10))</f>
        <v>0</v>
      </c>
      <c r="P22" s="93">
        <f>Materiais[[#This Row],[Valor Venda c/ Potencial Desconto  em Material (R$)]]/(1-('Valores Finais'!$B$6))</f>
        <v>0</v>
      </c>
      <c r="Q22" s="84">
        <f>'Valores Finais'!$B$10</f>
        <v>0.12</v>
      </c>
      <c r="R22" s="76">
        <f>Materiais[[#This Row],[Valor Venda c/ Comissões (R$)]]/(1-Materiais[[#This Row],[Tributos
(%)]])-Materiais[[#This Row],[Valor Venda c/ Comissões (R$)]]</f>
        <v>0</v>
      </c>
      <c r="S22" s="76">
        <f>Materiais[[#This Row],[Valor Venda c/ Comissões (R$)]]+Materiais[[#This Row],[Tributos
(R$)]]</f>
        <v>0</v>
      </c>
      <c r="T22" s="185"/>
      <c r="U22" s="186">
        <f ca="1">IF(Materiais[[#This Row],[Data Update]] = "",0,IF(_xlfn.DAYS(NOW(),Materiais[[#This Row],[Data Update]])&lt;=0,0,_xlfn.DAYS(NOW(),Materiais[[#This Row],[Data Update]])))</f>
        <v>0</v>
      </c>
    </row>
    <row r="23" spans="1:21" s="51" customFormat="1" x14ac:dyDescent="0.2">
      <c r="A23" s="46"/>
      <c r="B23" s="46"/>
      <c r="C23" s="46"/>
      <c r="D23" s="46"/>
      <c r="E23" s="46"/>
      <c r="F23" s="138"/>
      <c r="G23" s="129"/>
      <c r="H23" s="180"/>
      <c r="I23" s="5">
        <f>(Materiais[[#This Row],[Qtde.]]*Materiais[[#This Row],[Custo Unitário
Sem Tributos (R$)]])</f>
        <v>0</v>
      </c>
      <c r="J23" s="92">
        <v>0</v>
      </c>
      <c r="K23" s="140">
        <f>Materiais[[#This Row],[Custo Total
Sem Tributos (R$)]]*Materiais[[#This Row],[IPI
(%)]]+Materiais[[#This Row],[Custo Total
Sem Tributos (R$)]]</f>
        <v>0</v>
      </c>
      <c r="L23" s="92">
        <v>0.1</v>
      </c>
      <c r="M23" s="76">
        <f>Materiais[[#This Row],[Custo Total
Com IPI (R$)]]/(1-Materiais[[#This Row],[Margem
(%)]])</f>
        <v>0</v>
      </c>
      <c r="N23" s="16">
        <f>Materiais[[#This Row],[Valor Venda c/ Potencial Desconto  em Material (R$)]]-Materiais[[#This Row],[Custo Total
Com IPI (R$)]]</f>
        <v>0</v>
      </c>
      <c r="O23" s="93">
        <f>Materiais[[#This Row],[Valor Total
Com Margem
Sem Tributos   (R$)]]/(1-('Valores Finais'!$C$10))</f>
        <v>0</v>
      </c>
      <c r="P23" s="93">
        <f>Materiais[[#This Row],[Valor Venda c/ Potencial Desconto  em Material (R$)]]/(1-('Valores Finais'!$B$6))</f>
        <v>0</v>
      </c>
      <c r="Q23" s="84">
        <f>'Valores Finais'!$B$10</f>
        <v>0.12</v>
      </c>
      <c r="R23" s="76">
        <f>Materiais[[#This Row],[Valor Venda c/ Comissões (R$)]]/(1-Materiais[[#This Row],[Tributos
(%)]])-Materiais[[#This Row],[Valor Venda c/ Comissões (R$)]]</f>
        <v>0</v>
      </c>
      <c r="S23" s="76">
        <f>Materiais[[#This Row],[Valor Venda c/ Comissões (R$)]]+Materiais[[#This Row],[Tributos
(R$)]]</f>
        <v>0</v>
      </c>
      <c r="T23" s="185"/>
      <c r="U23" s="186">
        <f ca="1">IF(Materiais[[#This Row],[Data Update]] = "",0,IF(_xlfn.DAYS(NOW(),Materiais[[#This Row],[Data Update]])&lt;=0,0,_xlfn.DAYS(NOW(),Materiais[[#This Row],[Data Update]])))</f>
        <v>0</v>
      </c>
    </row>
    <row r="24" spans="1:21" s="51" customFormat="1" x14ac:dyDescent="0.2">
      <c r="A24" s="46"/>
      <c r="B24" s="46"/>
      <c r="C24" s="46"/>
      <c r="D24" s="46"/>
      <c r="E24" s="46"/>
      <c r="F24" s="138"/>
      <c r="G24" s="129"/>
      <c r="H24" s="180"/>
      <c r="I24" s="5">
        <f>(Materiais[[#This Row],[Qtde.]]*Materiais[[#This Row],[Custo Unitário
Sem Tributos (R$)]])</f>
        <v>0</v>
      </c>
      <c r="J24" s="92">
        <v>0</v>
      </c>
      <c r="K24" s="140">
        <f>Materiais[[#This Row],[Custo Total
Sem Tributos (R$)]]*Materiais[[#This Row],[IPI
(%)]]+Materiais[[#This Row],[Custo Total
Sem Tributos (R$)]]</f>
        <v>0</v>
      </c>
      <c r="L24" s="92">
        <v>0.1</v>
      </c>
      <c r="M24" s="76">
        <f>Materiais[[#This Row],[Custo Total
Com IPI (R$)]]/(1-Materiais[[#This Row],[Margem
(%)]])</f>
        <v>0</v>
      </c>
      <c r="N24" s="16">
        <f>Materiais[[#This Row],[Valor Venda c/ Potencial Desconto  em Material (R$)]]-Materiais[[#This Row],[Custo Total
Com IPI (R$)]]</f>
        <v>0</v>
      </c>
      <c r="O24" s="93">
        <f>Materiais[[#This Row],[Valor Total
Com Margem
Sem Tributos   (R$)]]/(1-('Valores Finais'!$C$10))</f>
        <v>0</v>
      </c>
      <c r="P24" s="93">
        <f>Materiais[[#This Row],[Valor Venda c/ Potencial Desconto  em Material (R$)]]/(1-('Valores Finais'!$B$6))</f>
        <v>0</v>
      </c>
      <c r="Q24" s="84">
        <f>'Valores Finais'!$B$10</f>
        <v>0.12</v>
      </c>
      <c r="R24" s="76">
        <f>Materiais[[#This Row],[Valor Venda c/ Comissões (R$)]]/(1-Materiais[[#This Row],[Tributos
(%)]])-Materiais[[#This Row],[Valor Venda c/ Comissões (R$)]]</f>
        <v>0</v>
      </c>
      <c r="S24" s="76">
        <f>Materiais[[#This Row],[Valor Venda c/ Comissões (R$)]]+Materiais[[#This Row],[Tributos
(R$)]]</f>
        <v>0</v>
      </c>
      <c r="T24" s="185"/>
      <c r="U24" s="186">
        <f ca="1">IF(Materiais[[#This Row],[Data Update]] = "",0,IF(_xlfn.DAYS(NOW(),Materiais[[#This Row],[Data Update]])&lt;=0,0,_xlfn.DAYS(NOW(),Materiais[[#This Row],[Data Update]])))</f>
        <v>0</v>
      </c>
    </row>
    <row r="25" spans="1:21" s="51" customFormat="1" x14ac:dyDescent="0.2">
      <c r="A25" s="46"/>
      <c r="B25" s="46"/>
      <c r="C25" s="46"/>
      <c r="D25" s="46"/>
      <c r="E25" s="46"/>
      <c r="F25" s="138"/>
      <c r="G25" s="129"/>
      <c r="H25" s="180"/>
      <c r="I25" s="5">
        <f>(Materiais[[#This Row],[Qtde.]]*Materiais[[#This Row],[Custo Unitário
Sem Tributos (R$)]])</f>
        <v>0</v>
      </c>
      <c r="J25" s="92">
        <v>0</v>
      </c>
      <c r="K25" s="140">
        <f>Materiais[[#This Row],[Custo Total
Sem Tributos (R$)]]*Materiais[[#This Row],[IPI
(%)]]+Materiais[[#This Row],[Custo Total
Sem Tributos (R$)]]</f>
        <v>0</v>
      </c>
      <c r="L25" s="92">
        <v>0.1</v>
      </c>
      <c r="M25" s="76">
        <f>Materiais[[#This Row],[Custo Total
Com IPI (R$)]]/(1-Materiais[[#This Row],[Margem
(%)]])</f>
        <v>0</v>
      </c>
      <c r="N25" s="16">
        <f>Materiais[[#This Row],[Valor Venda c/ Potencial Desconto  em Material (R$)]]-Materiais[[#This Row],[Custo Total
Com IPI (R$)]]</f>
        <v>0</v>
      </c>
      <c r="O25" s="93">
        <f>Materiais[[#This Row],[Valor Total
Com Margem
Sem Tributos   (R$)]]/(1-('Valores Finais'!$C$10))</f>
        <v>0</v>
      </c>
      <c r="P25" s="93">
        <f>Materiais[[#This Row],[Valor Venda c/ Potencial Desconto  em Material (R$)]]/(1-('Valores Finais'!$B$6))</f>
        <v>0</v>
      </c>
      <c r="Q25" s="84">
        <f>'Valores Finais'!$B$10</f>
        <v>0.12</v>
      </c>
      <c r="R25" s="76">
        <f>Materiais[[#This Row],[Valor Venda c/ Comissões (R$)]]/(1-Materiais[[#This Row],[Tributos
(%)]])-Materiais[[#This Row],[Valor Venda c/ Comissões (R$)]]</f>
        <v>0</v>
      </c>
      <c r="S25" s="76">
        <f>Materiais[[#This Row],[Valor Venda c/ Comissões (R$)]]+Materiais[[#This Row],[Tributos
(R$)]]</f>
        <v>0</v>
      </c>
      <c r="T25" s="185"/>
      <c r="U25" s="186">
        <f ca="1">IF(Materiais[[#This Row],[Data Update]] = "",0,IF(_xlfn.DAYS(NOW(),Materiais[[#This Row],[Data Update]])&lt;=0,0,_xlfn.DAYS(NOW(),Materiais[[#This Row],[Data Update]])))</f>
        <v>0</v>
      </c>
    </row>
    <row r="26" spans="1:21" s="51" customFormat="1" x14ac:dyDescent="0.2">
      <c r="A26" s="46"/>
      <c r="B26" s="46"/>
      <c r="C26" s="46"/>
      <c r="D26" s="46"/>
      <c r="E26" s="46"/>
      <c r="F26" s="138"/>
      <c r="G26" s="129"/>
      <c r="H26" s="180"/>
      <c r="I26" s="5">
        <f>(Materiais[[#This Row],[Qtde.]]*Materiais[[#This Row],[Custo Unitário
Sem Tributos (R$)]])</f>
        <v>0</v>
      </c>
      <c r="J26" s="92">
        <v>0</v>
      </c>
      <c r="K26" s="140">
        <f>Materiais[[#This Row],[Custo Total
Sem Tributos (R$)]]*Materiais[[#This Row],[IPI
(%)]]+Materiais[[#This Row],[Custo Total
Sem Tributos (R$)]]</f>
        <v>0</v>
      </c>
      <c r="L26" s="92">
        <v>0.1</v>
      </c>
      <c r="M26" s="76">
        <f>Materiais[[#This Row],[Custo Total
Com IPI (R$)]]/(1-Materiais[[#This Row],[Margem
(%)]])</f>
        <v>0</v>
      </c>
      <c r="N26" s="16">
        <f>Materiais[[#This Row],[Valor Venda c/ Potencial Desconto  em Material (R$)]]-Materiais[[#This Row],[Custo Total
Com IPI (R$)]]</f>
        <v>0</v>
      </c>
      <c r="O26" s="93">
        <f>Materiais[[#This Row],[Valor Total
Com Margem
Sem Tributos   (R$)]]/(1-('Valores Finais'!$C$10))</f>
        <v>0</v>
      </c>
      <c r="P26" s="93">
        <f>Materiais[[#This Row],[Valor Venda c/ Potencial Desconto  em Material (R$)]]/(1-('Valores Finais'!$B$6))</f>
        <v>0</v>
      </c>
      <c r="Q26" s="84">
        <f>'Valores Finais'!$B$10</f>
        <v>0.12</v>
      </c>
      <c r="R26" s="76">
        <f>Materiais[[#This Row],[Valor Venda c/ Comissões (R$)]]/(1-Materiais[[#This Row],[Tributos
(%)]])-Materiais[[#This Row],[Valor Venda c/ Comissões (R$)]]</f>
        <v>0</v>
      </c>
      <c r="S26" s="76">
        <f>Materiais[[#This Row],[Valor Venda c/ Comissões (R$)]]+Materiais[[#This Row],[Tributos
(R$)]]</f>
        <v>0</v>
      </c>
      <c r="T26" s="185"/>
      <c r="U26" s="186">
        <f ca="1">IF(Materiais[[#This Row],[Data Update]] = "",0,IF(_xlfn.DAYS(NOW(),Materiais[[#This Row],[Data Update]])&lt;=0,0,_xlfn.DAYS(NOW(),Materiais[[#This Row],[Data Update]])))</f>
        <v>0</v>
      </c>
    </row>
    <row r="27" spans="1:21" s="51" customFormat="1" x14ac:dyDescent="0.2">
      <c r="A27" s="46"/>
      <c r="B27" s="46"/>
      <c r="C27" s="46"/>
      <c r="D27" s="46"/>
      <c r="E27" s="46"/>
      <c r="F27" s="138"/>
      <c r="G27" s="129"/>
      <c r="H27" s="180"/>
      <c r="I27" s="5">
        <f>(Materiais[[#This Row],[Qtde.]]*Materiais[[#This Row],[Custo Unitário
Sem Tributos (R$)]])</f>
        <v>0</v>
      </c>
      <c r="J27" s="92">
        <v>0</v>
      </c>
      <c r="K27" s="140">
        <f>Materiais[[#This Row],[Custo Total
Sem Tributos (R$)]]*Materiais[[#This Row],[IPI
(%)]]+Materiais[[#This Row],[Custo Total
Sem Tributos (R$)]]</f>
        <v>0</v>
      </c>
      <c r="L27" s="92">
        <v>0.1</v>
      </c>
      <c r="M27" s="76">
        <f>Materiais[[#This Row],[Custo Total
Com IPI (R$)]]/(1-Materiais[[#This Row],[Margem
(%)]])</f>
        <v>0</v>
      </c>
      <c r="N27" s="16">
        <f>Materiais[[#This Row],[Valor Venda c/ Potencial Desconto  em Material (R$)]]-Materiais[[#This Row],[Custo Total
Com IPI (R$)]]</f>
        <v>0</v>
      </c>
      <c r="O27" s="93">
        <f>Materiais[[#This Row],[Valor Total
Com Margem
Sem Tributos   (R$)]]/(1-('Valores Finais'!$C$10))</f>
        <v>0</v>
      </c>
      <c r="P27" s="93">
        <f>Materiais[[#This Row],[Valor Venda c/ Potencial Desconto  em Material (R$)]]/(1-('Valores Finais'!$B$6))</f>
        <v>0</v>
      </c>
      <c r="Q27" s="84">
        <f>'Valores Finais'!$B$10</f>
        <v>0.12</v>
      </c>
      <c r="R27" s="76">
        <f>Materiais[[#This Row],[Valor Venda c/ Comissões (R$)]]/(1-Materiais[[#This Row],[Tributos
(%)]])-Materiais[[#This Row],[Valor Venda c/ Comissões (R$)]]</f>
        <v>0</v>
      </c>
      <c r="S27" s="76">
        <f>Materiais[[#This Row],[Valor Venda c/ Comissões (R$)]]+Materiais[[#This Row],[Tributos
(R$)]]</f>
        <v>0</v>
      </c>
      <c r="T27" s="185"/>
      <c r="U27" s="186">
        <f ca="1">IF(Materiais[[#This Row],[Data Update]] = "",0,IF(_xlfn.DAYS(NOW(),Materiais[[#This Row],[Data Update]])&lt;=0,0,_xlfn.DAYS(NOW(),Materiais[[#This Row],[Data Update]])))</f>
        <v>0</v>
      </c>
    </row>
    <row r="28" spans="1:21" s="51" customFormat="1" x14ac:dyDescent="0.2">
      <c r="A28" s="46"/>
      <c r="B28" s="46"/>
      <c r="C28" s="46"/>
      <c r="D28" s="46"/>
      <c r="E28" s="46"/>
      <c r="F28" s="138"/>
      <c r="G28" s="129"/>
      <c r="H28" s="180"/>
      <c r="I28" s="5">
        <f>(Materiais[[#This Row],[Qtde.]]*Materiais[[#This Row],[Custo Unitário
Sem Tributos (R$)]])</f>
        <v>0</v>
      </c>
      <c r="J28" s="92">
        <v>0</v>
      </c>
      <c r="K28" s="140">
        <f>Materiais[[#This Row],[Custo Total
Sem Tributos (R$)]]*Materiais[[#This Row],[IPI
(%)]]+Materiais[[#This Row],[Custo Total
Sem Tributos (R$)]]</f>
        <v>0</v>
      </c>
      <c r="L28" s="92">
        <v>0.1</v>
      </c>
      <c r="M28" s="76">
        <f>Materiais[[#This Row],[Custo Total
Com IPI (R$)]]/(1-Materiais[[#This Row],[Margem
(%)]])</f>
        <v>0</v>
      </c>
      <c r="N28" s="16">
        <f>Materiais[[#This Row],[Valor Venda c/ Potencial Desconto  em Material (R$)]]-Materiais[[#This Row],[Custo Total
Com IPI (R$)]]</f>
        <v>0</v>
      </c>
      <c r="O28" s="93">
        <f>Materiais[[#This Row],[Valor Total
Com Margem
Sem Tributos   (R$)]]/(1-('Valores Finais'!$C$10))</f>
        <v>0</v>
      </c>
      <c r="P28" s="93">
        <f>Materiais[[#This Row],[Valor Venda c/ Potencial Desconto  em Material (R$)]]/(1-('Valores Finais'!$B$6))</f>
        <v>0</v>
      </c>
      <c r="Q28" s="84">
        <f>'Valores Finais'!$B$10</f>
        <v>0.12</v>
      </c>
      <c r="R28" s="76">
        <f>Materiais[[#This Row],[Valor Venda c/ Comissões (R$)]]/(1-Materiais[[#This Row],[Tributos
(%)]])-Materiais[[#This Row],[Valor Venda c/ Comissões (R$)]]</f>
        <v>0</v>
      </c>
      <c r="S28" s="76">
        <f>Materiais[[#This Row],[Valor Venda c/ Comissões (R$)]]+Materiais[[#This Row],[Tributos
(R$)]]</f>
        <v>0</v>
      </c>
      <c r="T28" s="185"/>
      <c r="U28" s="186">
        <f ca="1">IF(Materiais[[#This Row],[Data Update]] = "",0,IF(_xlfn.DAYS(NOW(),Materiais[[#This Row],[Data Update]])&lt;=0,0,_xlfn.DAYS(NOW(),Materiais[[#This Row],[Data Update]])))</f>
        <v>0</v>
      </c>
    </row>
    <row r="29" spans="1:21" s="51" customFormat="1" x14ac:dyDescent="0.2">
      <c r="A29" s="46"/>
      <c r="B29" s="46"/>
      <c r="C29" s="46"/>
      <c r="D29" s="46"/>
      <c r="E29" s="46"/>
      <c r="F29" s="138"/>
      <c r="G29" s="129"/>
      <c r="H29" s="180"/>
      <c r="I29" s="5">
        <f>(Materiais[[#This Row],[Qtde.]]*Materiais[[#This Row],[Custo Unitário
Sem Tributos (R$)]])</f>
        <v>0</v>
      </c>
      <c r="J29" s="92">
        <v>0</v>
      </c>
      <c r="K29" s="140">
        <f>Materiais[[#This Row],[Custo Total
Sem Tributos (R$)]]*Materiais[[#This Row],[IPI
(%)]]+Materiais[[#This Row],[Custo Total
Sem Tributos (R$)]]</f>
        <v>0</v>
      </c>
      <c r="L29" s="92">
        <v>0.1</v>
      </c>
      <c r="M29" s="76">
        <f>Materiais[[#This Row],[Custo Total
Com IPI (R$)]]/(1-Materiais[[#This Row],[Margem
(%)]])</f>
        <v>0</v>
      </c>
      <c r="N29" s="16">
        <f>Materiais[[#This Row],[Valor Venda c/ Potencial Desconto  em Material (R$)]]-Materiais[[#This Row],[Custo Total
Com IPI (R$)]]</f>
        <v>0</v>
      </c>
      <c r="O29" s="93">
        <f>Materiais[[#This Row],[Valor Total
Com Margem
Sem Tributos   (R$)]]/(1-('Valores Finais'!$C$10))</f>
        <v>0</v>
      </c>
      <c r="P29" s="93">
        <f>Materiais[[#This Row],[Valor Venda c/ Potencial Desconto  em Material (R$)]]/(1-('Valores Finais'!$B$6))</f>
        <v>0</v>
      </c>
      <c r="Q29" s="84">
        <f>'Valores Finais'!$B$10</f>
        <v>0.12</v>
      </c>
      <c r="R29" s="76">
        <f>Materiais[[#This Row],[Valor Venda c/ Comissões (R$)]]/(1-Materiais[[#This Row],[Tributos
(%)]])-Materiais[[#This Row],[Valor Venda c/ Comissões (R$)]]</f>
        <v>0</v>
      </c>
      <c r="S29" s="76">
        <f>Materiais[[#This Row],[Valor Venda c/ Comissões (R$)]]+Materiais[[#This Row],[Tributos
(R$)]]</f>
        <v>0</v>
      </c>
      <c r="T29" s="185"/>
      <c r="U29" s="186">
        <f ca="1">IF(Materiais[[#This Row],[Data Update]] = "",0,IF(_xlfn.DAYS(NOW(),Materiais[[#This Row],[Data Update]])&lt;=0,0,_xlfn.DAYS(NOW(),Materiais[[#This Row],[Data Update]])))</f>
        <v>0</v>
      </c>
    </row>
    <row r="30" spans="1:21" s="51" customFormat="1" x14ac:dyDescent="0.2">
      <c r="A30" s="46"/>
      <c r="B30" s="46"/>
      <c r="C30" s="46"/>
      <c r="D30" s="46"/>
      <c r="E30" s="46"/>
      <c r="F30" s="138"/>
      <c r="G30" s="129"/>
      <c r="H30" s="180"/>
      <c r="I30" s="5">
        <f>(Materiais[[#This Row],[Qtde.]]*Materiais[[#This Row],[Custo Unitário
Sem Tributos (R$)]])</f>
        <v>0</v>
      </c>
      <c r="J30" s="92">
        <v>0</v>
      </c>
      <c r="K30" s="140">
        <f>Materiais[[#This Row],[Custo Total
Sem Tributos (R$)]]*Materiais[[#This Row],[IPI
(%)]]+Materiais[[#This Row],[Custo Total
Sem Tributos (R$)]]</f>
        <v>0</v>
      </c>
      <c r="L30" s="92">
        <v>0.1</v>
      </c>
      <c r="M30" s="76">
        <f>Materiais[[#This Row],[Custo Total
Com IPI (R$)]]/(1-Materiais[[#This Row],[Margem
(%)]])</f>
        <v>0</v>
      </c>
      <c r="N30" s="16">
        <f>Materiais[[#This Row],[Valor Venda c/ Potencial Desconto  em Material (R$)]]-Materiais[[#This Row],[Custo Total
Com IPI (R$)]]</f>
        <v>0</v>
      </c>
      <c r="O30" s="93">
        <f>Materiais[[#This Row],[Valor Total
Com Margem
Sem Tributos   (R$)]]/(1-('Valores Finais'!$C$10))</f>
        <v>0</v>
      </c>
      <c r="P30" s="93">
        <f>Materiais[[#This Row],[Valor Venda c/ Potencial Desconto  em Material (R$)]]/(1-('Valores Finais'!$B$6))</f>
        <v>0</v>
      </c>
      <c r="Q30" s="84">
        <f>'Valores Finais'!$B$10</f>
        <v>0.12</v>
      </c>
      <c r="R30" s="76">
        <f>Materiais[[#This Row],[Valor Venda c/ Comissões (R$)]]/(1-Materiais[[#This Row],[Tributos
(%)]])-Materiais[[#This Row],[Valor Venda c/ Comissões (R$)]]</f>
        <v>0</v>
      </c>
      <c r="S30" s="76">
        <f>Materiais[[#This Row],[Valor Venda c/ Comissões (R$)]]+Materiais[[#This Row],[Tributos
(R$)]]</f>
        <v>0</v>
      </c>
      <c r="T30" s="185"/>
      <c r="U30" s="186">
        <f ca="1">IF(Materiais[[#This Row],[Data Update]] = "",0,IF(_xlfn.DAYS(NOW(),Materiais[[#This Row],[Data Update]])&lt;=0,0,_xlfn.DAYS(NOW(),Materiais[[#This Row],[Data Update]])))</f>
        <v>0</v>
      </c>
    </row>
    <row r="31" spans="1:21" s="51" customFormat="1" x14ac:dyDescent="0.2">
      <c r="A31" s="46"/>
      <c r="B31" s="46"/>
      <c r="C31" s="46"/>
      <c r="D31" s="46"/>
      <c r="E31" s="46"/>
      <c r="F31" s="138"/>
      <c r="G31" s="129"/>
      <c r="H31" s="180"/>
      <c r="I31" s="5">
        <f>(Materiais[[#This Row],[Qtde.]]*Materiais[[#This Row],[Custo Unitário
Sem Tributos (R$)]])</f>
        <v>0</v>
      </c>
      <c r="J31" s="92">
        <v>0</v>
      </c>
      <c r="K31" s="140">
        <f>Materiais[[#This Row],[Custo Total
Sem Tributos (R$)]]*Materiais[[#This Row],[IPI
(%)]]+Materiais[[#This Row],[Custo Total
Sem Tributos (R$)]]</f>
        <v>0</v>
      </c>
      <c r="L31" s="92">
        <v>0.1</v>
      </c>
      <c r="M31" s="76">
        <f>Materiais[[#This Row],[Custo Total
Com IPI (R$)]]/(1-Materiais[[#This Row],[Margem
(%)]])</f>
        <v>0</v>
      </c>
      <c r="N31" s="16">
        <f>Materiais[[#This Row],[Valor Venda c/ Potencial Desconto  em Material (R$)]]-Materiais[[#This Row],[Custo Total
Com IPI (R$)]]</f>
        <v>0</v>
      </c>
      <c r="O31" s="93">
        <f>Materiais[[#This Row],[Valor Total
Com Margem
Sem Tributos   (R$)]]/(1-('Valores Finais'!$C$10))</f>
        <v>0</v>
      </c>
      <c r="P31" s="93">
        <f>Materiais[[#This Row],[Valor Venda c/ Potencial Desconto  em Material (R$)]]/(1-('Valores Finais'!$B$6))</f>
        <v>0</v>
      </c>
      <c r="Q31" s="84">
        <f>'Valores Finais'!$B$10</f>
        <v>0.12</v>
      </c>
      <c r="R31" s="76">
        <f>Materiais[[#This Row],[Valor Venda c/ Comissões (R$)]]/(1-Materiais[[#This Row],[Tributos
(%)]])-Materiais[[#This Row],[Valor Venda c/ Comissões (R$)]]</f>
        <v>0</v>
      </c>
      <c r="S31" s="76">
        <f>Materiais[[#This Row],[Valor Venda c/ Comissões (R$)]]+Materiais[[#This Row],[Tributos
(R$)]]</f>
        <v>0</v>
      </c>
      <c r="T31" s="185"/>
      <c r="U31" s="186">
        <f ca="1">IF(Materiais[[#This Row],[Data Update]] = "",0,IF(_xlfn.DAYS(NOW(),Materiais[[#This Row],[Data Update]])&lt;=0,0,_xlfn.DAYS(NOW(),Materiais[[#This Row],[Data Update]])))</f>
        <v>0</v>
      </c>
    </row>
    <row r="32" spans="1:21" s="51" customFormat="1" x14ac:dyDescent="0.2">
      <c r="A32" s="46"/>
      <c r="B32" s="46"/>
      <c r="C32" s="46"/>
      <c r="D32" s="46"/>
      <c r="E32" s="46"/>
      <c r="F32" s="138"/>
      <c r="G32" s="129"/>
      <c r="H32" s="180"/>
      <c r="I32" s="5">
        <f>(Materiais[[#This Row],[Qtde.]]*Materiais[[#This Row],[Custo Unitário
Sem Tributos (R$)]])</f>
        <v>0</v>
      </c>
      <c r="J32" s="92">
        <v>0</v>
      </c>
      <c r="K32" s="140">
        <f>Materiais[[#This Row],[Custo Total
Sem Tributos (R$)]]*Materiais[[#This Row],[IPI
(%)]]+Materiais[[#This Row],[Custo Total
Sem Tributos (R$)]]</f>
        <v>0</v>
      </c>
      <c r="L32" s="92">
        <v>0.1</v>
      </c>
      <c r="M32" s="76">
        <f>Materiais[[#This Row],[Custo Total
Com IPI (R$)]]/(1-Materiais[[#This Row],[Margem
(%)]])</f>
        <v>0</v>
      </c>
      <c r="N32" s="16">
        <f>Materiais[[#This Row],[Valor Venda c/ Potencial Desconto  em Material (R$)]]-Materiais[[#This Row],[Custo Total
Com IPI (R$)]]</f>
        <v>0</v>
      </c>
      <c r="O32" s="93">
        <f>Materiais[[#This Row],[Valor Total
Com Margem
Sem Tributos   (R$)]]/(1-('Valores Finais'!$C$10))</f>
        <v>0</v>
      </c>
      <c r="P32" s="93">
        <f>Materiais[[#This Row],[Valor Venda c/ Potencial Desconto  em Material (R$)]]/(1-('Valores Finais'!$B$6))</f>
        <v>0</v>
      </c>
      <c r="Q32" s="84">
        <f>'Valores Finais'!$B$10</f>
        <v>0.12</v>
      </c>
      <c r="R32" s="76">
        <f>Materiais[[#This Row],[Valor Venda c/ Comissões (R$)]]/(1-Materiais[[#This Row],[Tributos
(%)]])-Materiais[[#This Row],[Valor Venda c/ Comissões (R$)]]</f>
        <v>0</v>
      </c>
      <c r="S32" s="76">
        <f>Materiais[[#This Row],[Valor Venda c/ Comissões (R$)]]+Materiais[[#This Row],[Tributos
(R$)]]</f>
        <v>0</v>
      </c>
      <c r="T32" s="185"/>
      <c r="U32" s="186">
        <f ca="1">IF(Materiais[[#This Row],[Data Update]] = "",0,IF(_xlfn.DAYS(NOW(),Materiais[[#This Row],[Data Update]])&lt;=0,0,_xlfn.DAYS(NOW(),Materiais[[#This Row],[Data Update]])))</f>
        <v>0</v>
      </c>
    </row>
    <row r="33" spans="1:21" s="53" customFormat="1" x14ac:dyDescent="0.2">
      <c r="A33" s="46"/>
      <c r="B33" s="46"/>
      <c r="C33" s="46"/>
      <c r="D33" s="46"/>
      <c r="E33" s="46"/>
      <c r="F33" s="138"/>
      <c r="G33" s="129"/>
      <c r="H33" s="180"/>
      <c r="I33" s="5">
        <f>(Materiais[[#This Row],[Qtde.]]*Materiais[[#This Row],[Custo Unitário
Sem Tributos (R$)]])</f>
        <v>0</v>
      </c>
      <c r="J33" s="92">
        <v>0</v>
      </c>
      <c r="K33" s="140">
        <f>Materiais[[#This Row],[Custo Total
Sem Tributos (R$)]]*Materiais[[#This Row],[IPI
(%)]]+Materiais[[#This Row],[Custo Total
Sem Tributos (R$)]]</f>
        <v>0</v>
      </c>
      <c r="L33" s="92">
        <v>0.1</v>
      </c>
      <c r="M33" s="76">
        <f>Materiais[[#This Row],[Custo Total
Com IPI (R$)]]/(1-Materiais[[#This Row],[Margem
(%)]])</f>
        <v>0</v>
      </c>
      <c r="N33" s="16">
        <f>Materiais[[#This Row],[Valor Venda c/ Potencial Desconto  em Material (R$)]]-Materiais[[#This Row],[Custo Total
Com IPI (R$)]]</f>
        <v>0</v>
      </c>
      <c r="O33" s="93">
        <f>Materiais[[#This Row],[Valor Total
Com Margem
Sem Tributos   (R$)]]/(1-('Valores Finais'!$C$10))</f>
        <v>0</v>
      </c>
      <c r="P33" s="93">
        <f>Materiais[[#This Row],[Valor Venda c/ Potencial Desconto  em Material (R$)]]/(1-('Valores Finais'!$B$6))</f>
        <v>0</v>
      </c>
      <c r="Q33" s="84">
        <f>'Valores Finais'!$B$10</f>
        <v>0.12</v>
      </c>
      <c r="R33" s="76">
        <f>Materiais[[#This Row],[Valor Venda c/ Comissões (R$)]]/(1-Materiais[[#This Row],[Tributos
(%)]])-Materiais[[#This Row],[Valor Venda c/ Comissões (R$)]]</f>
        <v>0</v>
      </c>
      <c r="S33" s="76">
        <f>Materiais[[#This Row],[Valor Venda c/ Comissões (R$)]]+Materiais[[#This Row],[Tributos
(R$)]]</f>
        <v>0</v>
      </c>
      <c r="T33" s="185"/>
      <c r="U33" s="186">
        <f ca="1">IF(Materiais[[#This Row],[Data Update]] = "",0,IF(_xlfn.DAYS(NOW(),Materiais[[#This Row],[Data Update]])&lt;=0,0,_xlfn.DAYS(NOW(),Materiais[[#This Row],[Data Update]])))</f>
        <v>0</v>
      </c>
    </row>
    <row r="34" spans="1:21" s="53" customFormat="1" x14ac:dyDescent="0.2">
      <c r="A34" s="46"/>
      <c r="B34" s="46"/>
      <c r="C34" s="46"/>
      <c r="D34" s="46"/>
      <c r="E34" s="46"/>
      <c r="F34" s="138"/>
      <c r="G34" s="129"/>
      <c r="H34" s="180"/>
      <c r="I34" s="5">
        <f>(Materiais[[#This Row],[Qtde.]]*Materiais[[#This Row],[Custo Unitário
Sem Tributos (R$)]])</f>
        <v>0</v>
      </c>
      <c r="J34" s="92">
        <v>0</v>
      </c>
      <c r="K34" s="140">
        <f>Materiais[[#This Row],[Custo Total
Sem Tributos (R$)]]*Materiais[[#This Row],[IPI
(%)]]+Materiais[[#This Row],[Custo Total
Sem Tributos (R$)]]</f>
        <v>0</v>
      </c>
      <c r="L34" s="92">
        <v>0.1</v>
      </c>
      <c r="M34" s="76">
        <f>Materiais[[#This Row],[Custo Total
Com IPI (R$)]]/(1-Materiais[[#This Row],[Margem
(%)]])</f>
        <v>0</v>
      </c>
      <c r="N34" s="16">
        <f>Materiais[[#This Row],[Valor Venda c/ Potencial Desconto  em Material (R$)]]-Materiais[[#This Row],[Custo Total
Com IPI (R$)]]</f>
        <v>0</v>
      </c>
      <c r="O34" s="93">
        <f>Materiais[[#This Row],[Valor Total
Com Margem
Sem Tributos   (R$)]]/(1-('Valores Finais'!$C$10))</f>
        <v>0</v>
      </c>
      <c r="P34" s="93">
        <f>Materiais[[#This Row],[Valor Venda c/ Potencial Desconto  em Material (R$)]]/(1-('Valores Finais'!$B$6))</f>
        <v>0</v>
      </c>
      <c r="Q34" s="84">
        <f>'Valores Finais'!$B$10</f>
        <v>0.12</v>
      </c>
      <c r="R34" s="76">
        <f>Materiais[[#This Row],[Valor Venda c/ Comissões (R$)]]/(1-Materiais[[#This Row],[Tributos
(%)]])-Materiais[[#This Row],[Valor Venda c/ Comissões (R$)]]</f>
        <v>0</v>
      </c>
      <c r="S34" s="76">
        <f>Materiais[[#This Row],[Valor Venda c/ Comissões (R$)]]+Materiais[[#This Row],[Tributos
(R$)]]</f>
        <v>0</v>
      </c>
      <c r="T34" s="185"/>
      <c r="U34" s="186">
        <f ca="1">IF(Materiais[[#This Row],[Data Update]] = "",0,IF(_xlfn.DAYS(NOW(),Materiais[[#This Row],[Data Update]])&lt;=0,0,_xlfn.DAYS(NOW(),Materiais[[#This Row],[Data Update]])))</f>
        <v>0</v>
      </c>
    </row>
    <row r="35" spans="1:21" s="53" customFormat="1" x14ac:dyDescent="0.2">
      <c r="A35" s="46"/>
      <c r="B35" s="46"/>
      <c r="C35" s="46"/>
      <c r="D35" s="46"/>
      <c r="E35" s="46"/>
      <c r="F35" s="138"/>
      <c r="G35" s="129"/>
      <c r="H35" s="180"/>
      <c r="I35" s="5">
        <f>(Materiais[[#This Row],[Qtde.]]*Materiais[[#This Row],[Custo Unitário
Sem Tributos (R$)]])</f>
        <v>0</v>
      </c>
      <c r="J35" s="92">
        <v>0</v>
      </c>
      <c r="K35" s="140">
        <f>Materiais[[#This Row],[Custo Total
Sem Tributos (R$)]]*Materiais[[#This Row],[IPI
(%)]]+Materiais[[#This Row],[Custo Total
Sem Tributos (R$)]]</f>
        <v>0</v>
      </c>
      <c r="L35" s="92">
        <v>0.1</v>
      </c>
      <c r="M35" s="76">
        <f>Materiais[[#This Row],[Custo Total
Com IPI (R$)]]/(1-Materiais[[#This Row],[Margem
(%)]])</f>
        <v>0</v>
      </c>
      <c r="N35" s="16">
        <f>Materiais[[#This Row],[Valor Venda c/ Potencial Desconto  em Material (R$)]]-Materiais[[#This Row],[Custo Total
Com IPI (R$)]]</f>
        <v>0</v>
      </c>
      <c r="O35" s="93">
        <f>Materiais[[#This Row],[Valor Total
Com Margem
Sem Tributos   (R$)]]/(1-('Valores Finais'!$C$10))</f>
        <v>0</v>
      </c>
      <c r="P35" s="93">
        <f>Materiais[[#This Row],[Valor Venda c/ Potencial Desconto  em Material (R$)]]/(1-('Valores Finais'!$B$6))</f>
        <v>0</v>
      </c>
      <c r="Q35" s="84">
        <f>'Valores Finais'!$B$10</f>
        <v>0.12</v>
      </c>
      <c r="R35" s="76">
        <f>Materiais[[#This Row],[Valor Venda c/ Comissões (R$)]]/(1-Materiais[[#This Row],[Tributos
(%)]])-Materiais[[#This Row],[Valor Venda c/ Comissões (R$)]]</f>
        <v>0</v>
      </c>
      <c r="S35" s="76">
        <f>Materiais[[#This Row],[Valor Venda c/ Comissões (R$)]]+Materiais[[#This Row],[Tributos
(R$)]]</f>
        <v>0</v>
      </c>
      <c r="T35" s="185"/>
      <c r="U35" s="186">
        <f ca="1">IF(Materiais[[#This Row],[Data Update]] = "",0,IF(_xlfn.DAYS(NOW(),Materiais[[#This Row],[Data Update]])&lt;=0,0,_xlfn.DAYS(NOW(),Materiais[[#This Row],[Data Update]])))</f>
        <v>0</v>
      </c>
    </row>
    <row r="36" spans="1:21" s="53" customFormat="1" x14ac:dyDescent="0.2">
      <c r="A36" s="46"/>
      <c r="B36" s="46"/>
      <c r="C36" s="46"/>
      <c r="D36" s="46"/>
      <c r="E36" s="46"/>
      <c r="F36" s="138"/>
      <c r="G36" s="129"/>
      <c r="H36" s="180"/>
      <c r="I36" s="5">
        <f>(Materiais[[#This Row],[Qtde.]]*Materiais[[#This Row],[Custo Unitário
Sem Tributos (R$)]])</f>
        <v>0</v>
      </c>
      <c r="J36" s="92">
        <v>0</v>
      </c>
      <c r="K36" s="140">
        <f>Materiais[[#This Row],[Custo Total
Sem Tributos (R$)]]*Materiais[[#This Row],[IPI
(%)]]+Materiais[[#This Row],[Custo Total
Sem Tributos (R$)]]</f>
        <v>0</v>
      </c>
      <c r="L36" s="92">
        <v>0.1</v>
      </c>
      <c r="M36" s="76">
        <f>Materiais[[#This Row],[Custo Total
Com IPI (R$)]]/(1-Materiais[[#This Row],[Margem
(%)]])</f>
        <v>0</v>
      </c>
      <c r="N36" s="16">
        <f>Materiais[[#This Row],[Valor Venda c/ Potencial Desconto  em Material (R$)]]-Materiais[[#This Row],[Custo Total
Com IPI (R$)]]</f>
        <v>0</v>
      </c>
      <c r="O36" s="93">
        <f>Materiais[[#This Row],[Valor Total
Com Margem
Sem Tributos   (R$)]]/(1-('Valores Finais'!$C$10))</f>
        <v>0</v>
      </c>
      <c r="P36" s="93">
        <f>Materiais[[#This Row],[Valor Venda c/ Potencial Desconto  em Material (R$)]]/(1-('Valores Finais'!$B$6))</f>
        <v>0</v>
      </c>
      <c r="Q36" s="84">
        <f>'Valores Finais'!$B$10</f>
        <v>0.12</v>
      </c>
      <c r="R36" s="76">
        <f>Materiais[[#This Row],[Valor Venda c/ Comissões (R$)]]/(1-Materiais[[#This Row],[Tributos
(%)]])-Materiais[[#This Row],[Valor Venda c/ Comissões (R$)]]</f>
        <v>0</v>
      </c>
      <c r="S36" s="76">
        <f>Materiais[[#This Row],[Valor Venda c/ Comissões (R$)]]+Materiais[[#This Row],[Tributos
(R$)]]</f>
        <v>0</v>
      </c>
      <c r="T36" s="185"/>
      <c r="U36" s="186">
        <f ca="1">IF(Materiais[[#This Row],[Data Update]] = "",0,IF(_xlfn.DAYS(NOW(),Materiais[[#This Row],[Data Update]])&lt;=0,0,_xlfn.DAYS(NOW(),Materiais[[#This Row],[Data Update]])))</f>
        <v>0</v>
      </c>
    </row>
    <row r="37" spans="1:21" s="53" customFormat="1" x14ac:dyDescent="0.2">
      <c r="A37" s="46"/>
      <c r="B37" s="46"/>
      <c r="C37" s="46"/>
      <c r="D37" s="46"/>
      <c r="E37" s="46"/>
      <c r="F37" s="138"/>
      <c r="G37" s="129"/>
      <c r="H37" s="180"/>
      <c r="I37" s="5">
        <f>(Materiais[[#This Row],[Qtde.]]*Materiais[[#This Row],[Custo Unitário
Sem Tributos (R$)]])</f>
        <v>0</v>
      </c>
      <c r="J37" s="92">
        <v>0</v>
      </c>
      <c r="K37" s="140">
        <f>Materiais[[#This Row],[Custo Total
Sem Tributos (R$)]]*Materiais[[#This Row],[IPI
(%)]]+Materiais[[#This Row],[Custo Total
Sem Tributos (R$)]]</f>
        <v>0</v>
      </c>
      <c r="L37" s="92">
        <v>0.1</v>
      </c>
      <c r="M37" s="76">
        <f>Materiais[[#This Row],[Custo Total
Com IPI (R$)]]/(1-Materiais[[#This Row],[Margem
(%)]])</f>
        <v>0</v>
      </c>
      <c r="N37" s="16">
        <f>Materiais[[#This Row],[Valor Venda c/ Potencial Desconto  em Material (R$)]]-Materiais[[#This Row],[Custo Total
Com IPI (R$)]]</f>
        <v>0</v>
      </c>
      <c r="O37" s="93">
        <f>Materiais[[#This Row],[Valor Total
Com Margem
Sem Tributos   (R$)]]/(1-('Valores Finais'!$C$10))</f>
        <v>0</v>
      </c>
      <c r="P37" s="93">
        <f>Materiais[[#This Row],[Valor Venda c/ Potencial Desconto  em Material (R$)]]/(1-('Valores Finais'!$B$6))</f>
        <v>0</v>
      </c>
      <c r="Q37" s="84">
        <f>'Valores Finais'!$B$10</f>
        <v>0.12</v>
      </c>
      <c r="R37" s="76">
        <f>Materiais[[#This Row],[Valor Venda c/ Comissões (R$)]]/(1-Materiais[[#This Row],[Tributos
(%)]])-Materiais[[#This Row],[Valor Venda c/ Comissões (R$)]]</f>
        <v>0</v>
      </c>
      <c r="S37" s="76">
        <f>Materiais[[#This Row],[Valor Venda c/ Comissões (R$)]]+Materiais[[#This Row],[Tributos
(R$)]]</f>
        <v>0</v>
      </c>
      <c r="T37" s="185"/>
      <c r="U37" s="186">
        <f ca="1">IF(Materiais[[#This Row],[Data Update]] = "",0,IF(_xlfn.DAYS(NOW(),Materiais[[#This Row],[Data Update]])&lt;=0,0,_xlfn.DAYS(NOW(),Materiais[[#This Row],[Data Update]])))</f>
        <v>0</v>
      </c>
    </row>
    <row r="38" spans="1:21" s="53" customFormat="1" x14ac:dyDescent="0.2">
      <c r="A38" s="46"/>
      <c r="B38" s="46"/>
      <c r="C38" s="46"/>
      <c r="D38" s="46"/>
      <c r="E38" s="46"/>
      <c r="F38" s="138"/>
      <c r="G38" s="129"/>
      <c r="H38" s="180"/>
      <c r="I38" s="5">
        <f>(Materiais[[#This Row],[Qtde.]]*Materiais[[#This Row],[Custo Unitário
Sem Tributos (R$)]])</f>
        <v>0</v>
      </c>
      <c r="J38" s="92">
        <v>0</v>
      </c>
      <c r="K38" s="140">
        <f>Materiais[[#This Row],[Custo Total
Sem Tributos (R$)]]*Materiais[[#This Row],[IPI
(%)]]+Materiais[[#This Row],[Custo Total
Sem Tributos (R$)]]</f>
        <v>0</v>
      </c>
      <c r="L38" s="92">
        <v>0.1</v>
      </c>
      <c r="M38" s="76">
        <f>Materiais[[#This Row],[Custo Total
Com IPI (R$)]]/(1-Materiais[[#This Row],[Margem
(%)]])</f>
        <v>0</v>
      </c>
      <c r="N38" s="16">
        <f>Materiais[[#This Row],[Valor Venda c/ Potencial Desconto  em Material (R$)]]-Materiais[[#This Row],[Custo Total
Com IPI (R$)]]</f>
        <v>0</v>
      </c>
      <c r="O38" s="93">
        <f>Materiais[[#This Row],[Valor Total
Com Margem
Sem Tributos   (R$)]]/(1-('Valores Finais'!$C$10))</f>
        <v>0</v>
      </c>
      <c r="P38" s="93">
        <f>Materiais[[#This Row],[Valor Venda c/ Potencial Desconto  em Material (R$)]]/(1-('Valores Finais'!$B$6))</f>
        <v>0</v>
      </c>
      <c r="Q38" s="84">
        <f>'Valores Finais'!$B$10</f>
        <v>0.12</v>
      </c>
      <c r="R38" s="76">
        <f>Materiais[[#This Row],[Valor Venda c/ Comissões (R$)]]/(1-Materiais[[#This Row],[Tributos
(%)]])-Materiais[[#This Row],[Valor Venda c/ Comissões (R$)]]</f>
        <v>0</v>
      </c>
      <c r="S38" s="76">
        <f>Materiais[[#This Row],[Valor Venda c/ Comissões (R$)]]+Materiais[[#This Row],[Tributos
(R$)]]</f>
        <v>0</v>
      </c>
      <c r="T38" s="185"/>
      <c r="U38" s="186">
        <f ca="1">IF(Materiais[[#This Row],[Data Update]] = "",0,IF(_xlfn.DAYS(NOW(),Materiais[[#This Row],[Data Update]])&lt;=0,0,_xlfn.DAYS(NOW(),Materiais[[#This Row],[Data Update]])))</f>
        <v>0</v>
      </c>
    </row>
    <row r="39" spans="1:21" s="53" customFormat="1" x14ac:dyDescent="0.2">
      <c r="A39" s="46"/>
      <c r="B39" s="46"/>
      <c r="C39" s="46"/>
      <c r="D39" s="46"/>
      <c r="E39" s="46"/>
      <c r="F39" s="138"/>
      <c r="G39" s="129"/>
      <c r="H39" s="180"/>
      <c r="I39" s="5">
        <f>(Materiais[[#This Row],[Qtde.]]*Materiais[[#This Row],[Custo Unitário
Sem Tributos (R$)]])</f>
        <v>0</v>
      </c>
      <c r="J39" s="92">
        <v>0</v>
      </c>
      <c r="K39" s="140">
        <f>Materiais[[#This Row],[Custo Total
Sem Tributos (R$)]]*Materiais[[#This Row],[IPI
(%)]]+Materiais[[#This Row],[Custo Total
Sem Tributos (R$)]]</f>
        <v>0</v>
      </c>
      <c r="L39" s="92">
        <v>0.1</v>
      </c>
      <c r="M39" s="76">
        <f>Materiais[[#This Row],[Custo Total
Com IPI (R$)]]/(1-Materiais[[#This Row],[Margem
(%)]])</f>
        <v>0</v>
      </c>
      <c r="N39" s="16">
        <f>Materiais[[#This Row],[Valor Venda c/ Potencial Desconto  em Material (R$)]]-Materiais[[#This Row],[Custo Total
Com IPI (R$)]]</f>
        <v>0</v>
      </c>
      <c r="O39" s="93">
        <f>Materiais[[#This Row],[Valor Total
Com Margem
Sem Tributos   (R$)]]/(1-('Valores Finais'!$C$10))</f>
        <v>0</v>
      </c>
      <c r="P39" s="93">
        <f>Materiais[[#This Row],[Valor Venda c/ Potencial Desconto  em Material (R$)]]/(1-('Valores Finais'!$B$6))</f>
        <v>0</v>
      </c>
      <c r="Q39" s="84">
        <f>'Valores Finais'!$B$10</f>
        <v>0.12</v>
      </c>
      <c r="R39" s="76">
        <f>Materiais[[#This Row],[Valor Venda c/ Comissões (R$)]]/(1-Materiais[[#This Row],[Tributos
(%)]])-Materiais[[#This Row],[Valor Venda c/ Comissões (R$)]]</f>
        <v>0</v>
      </c>
      <c r="S39" s="76">
        <f>Materiais[[#This Row],[Valor Venda c/ Comissões (R$)]]+Materiais[[#This Row],[Tributos
(R$)]]</f>
        <v>0</v>
      </c>
      <c r="T39" s="185"/>
      <c r="U39" s="186">
        <f ca="1">IF(Materiais[[#This Row],[Data Update]] = "",0,IF(_xlfn.DAYS(NOW(),Materiais[[#This Row],[Data Update]])&lt;=0,0,_xlfn.DAYS(NOW(),Materiais[[#This Row],[Data Update]])))</f>
        <v>0</v>
      </c>
    </row>
    <row r="40" spans="1:21" x14ac:dyDescent="0.2">
      <c r="A40" s="46"/>
      <c r="B40" s="46"/>
      <c r="C40" s="46"/>
      <c r="D40" s="46"/>
      <c r="E40" s="46"/>
      <c r="F40" s="138"/>
      <c r="G40" s="129"/>
      <c r="H40" s="180"/>
      <c r="I40" s="5">
        <f>(Materiais[[#This Row],[Qtde.]]*Materiais[[#This Row],[Custo Unitário
Sem Tributos (R$)]])</f>
        <v>0</v>
      </c>
      <c r="J40" s="92">
        <v>0</v>
      </c>
      <c r="K40" s="140">
        <f>Materiais[[#This Row],[Custo Total
Sem Tributos (R$)]]*Materiais[[#This Row],[IPI
(%)]]+Materiais[[#This Row],[Custo Total
Sem Tributos (R$)]]</f>
        <v>0</v>
      </c>
      <c r="L40" s="92">
        <v>0.1</v>
      </c>
      <c r="M40" s="76">
        <f>Materiais[[#This Row],[Custo Total
Com IPI (R$)]]/(1-Materiais[[#This Row],[Margem
(%)]])</f>
        <v>0</v>
      </c>
      <c r="N40" s="16">
        <f>Materiais[[#This Row],[Valor Venda c/ Potencial Desconto  em Material (R$)]]-Materiais[[#This Row],[Custo Total
Com IPI (R$)]]</f>
        <v>0</v>
      </c>
      <c r="O40" s="93">
        <f>Materiais[[#This Row],[Valor Total
Com Margem
Sem Tributos   (R$)]]/(1-('Valores Finais'!$C$10))</f>
        <v>0</v>
      </c>
      <c r="P40" s="93">
        <f>Materiais[[#This Row],[Valor Venda c/ Potencial Desconto  em Material (R$)]]/(1-('Valores Finais'!$B$6))</f>
        <v>0</v>
      </c>
      <c r="Q40" s="84">
        <f>'Valores Finais'!$B$10</f>
        <v>0.12</v>
      </c>
      <c r="R40" s="76">
        <f>Materiais[[#This Row],[Valor Venda c/ Comissões (R$)]]/(1-Materiais[[#This Row],[Tributos
(%)]])-Materiais[[#This Row],[Valor Venda c/ Comissões (R$)]]</f>
        <v>0</v>
      </c>
      <c r="S40" s="76">
        <f>Materiais[[#This Row],[Valor Venda c/ Comissões (R$)]]+Materiais[[#This Row],[Tributos
(R$)]]</f>
        <v>0</v>
      </c>
      <c r="T40" s="185"/>
      <c r="U40" s="186">
        <f ca="1">IF(Materiais[[#This Row],[Data Update]] = "",0,IF(_xlfn.DAYS(NOW(),Materiais[[#This Row],[Data Update]])&lt;=0,0,_xlfn.DAYS(NOW(),Materiais[[#This Row],[Data Update]])))</f>
        <v>0</v>
      </c>
    </row>
    <row r="41" spans="1:21" x14ac:dyDescent="0.2">
      <c r="A41" s="46"/>
      <c r="B41" s="46"/>
      <c r="C41" s="46"/>
      <c r="D41" s="46"/>
      <c r="E41" s="46"/>
      <c r="F41" s="138"/>
      <c r="G41" s="129"/>
      <c r="H41" s="180"/>
      <c r="I41" s="5">
        <f>(Materiais[[#This Row],[Qtde.]]*Materiais[[#This Row],[Custo Unitário
Sem Tributos (R$)]])</f>
        <v>0</v>
      </c>
      <c r="J41" s="92">
        <v>0</v>
      </c>
      <c r="K41" s="140">
        <f>Materiais[[#This Row],[Custo Total
Sem Tributos (R$)]]*Materiais[[#This Row],[IPI
(%)]]+Materiais[[#This Row],[Custo Total
Sem Tributos (R$)]]</f>
        <v>0</v>
      </c>
      <c r="L41" s="92">
        <v>0.1</v>
      </c>
      <c r="M41" s="76">
        <f>Materiais[[#This Row],[Custo Total
Com IPI (R$)]]/(1-Materiais[[#This Row],[Margem
(%)]])</f>
        <v>0</v>
      </c>
      <c r="N41" s="16">
        <f>Materiais[[#This Row],[Valor Venda c/ Potencial Desconto  em Material (R$)]]-Materiais[[#This Row],[Custo Total
Com IPI (R$)]]</f>
        <v>0</v>
      </c>
      <c r="O41" s="93">
        <f>Materiais[[#This Row],[Valor Total
Com Margem
Sem Tributos   (R$)]]/(1-('Valores Finais'!$C$10))</f>
        <v>0</v>
      </c>
      <c r="P41" s="93">
        <f>Materiais[[#This Row],[Valor Venda c/ Potencial Desconto  em Material (R$)]]/(1-('Valores Finais'!$B$6))</f>
        <v>0</v>
      </c>
      <c r="Q41" s="84">
        <f>'Valores Finais'!$B$10</f>
        <v>0.12</v>
      </c>
      <c r="R41" s="76">
        <f>Materiais[[#This Row],[Valor Venda c/ Comissões (R$)]]/(1-Materiais[[#This Row],[Tributos
(%)]])-Materiais[[#This Row],[Valor Venda c/ Comissões (R$)]]</f>
        <v>0</v>
      </c>
      <c r="S41" s="76">
        <f>Materiais[[#This Row],[Valor Venda c/ Comissões (R$)]]+Materiais[[#This Row],[Tributos
(R$)]]</f>
        <v>0</v>
      </c>
      <c r="T41" s="185"/>
      <c r="U41" s="186">
        <f ca="1">IF(Materiais[[#This Row],[Data Update]] = "",0,IF(_xlfn.DAYS(NOW(),Materiais[[#This Row],[Data Update]])&lt;=0,0,_xlfn.DAYS(NOW(),Materiais[[#This Row],[Data Update]])))</f>
        <v>0</v>
      </c>
    </row>
    <row r="42" spans="1:21" x14ac:dyDescent="0.2">
      <c r="A42" s="46"/>
      <c r="B42" s="46"/>
      <c r="C42" s="46"/>
      <c r="D42" s="46"/>
      <c r="E42" s="46"/>
      <c r="F42" s="138"/>
      <c r="G42" s="129"/>
      <c r="H42" s="180"/>
      <c r="I42" s="5">
        <f>(Materiais[[#This Row],[Qtde.]]*Materiais[[#This Row],[Custo Unitário
Sem Tributos (R$)]])</f>
        <v>0</v>
      </c>
      <c r="J42" s="92">
        <v>0</v>
      </c>
      <c r="K42" s="140">
        <f>Materiais[[#This Row],[Custo Total
Sem Tributos (R$)]]*Materiais[[#This Row],[IPI
(%)]]+Materiais[[#This Row],[Custo Total
Sem Tributos (R$)]]</f>
        <v>0</v>
      </c>
      <c r="L42" s="92">
        <v>0.1</v>
      </c>
      <c r="M42" s="76">
        <f>Materiais[[#This Row],[Custo Total
Com IPI (R$)]]/(1-Materiais[[#This Row],[Margem
(%)]])</f>
        <v>0</v>
      </c>
      <c r="N42" s="16">
        <f>Materiais[[#This Row],[Valor Venda c/ Potencial Desconto  em Material (R$)]]-Materiais[[#This Row],[Custo Total
Com IPI (R$)]]</f>
        <v>0</v>
      </c>
      <c r="O42" s="93">
        <f>Materiais[[#This Row],[Valor Total
Com Margem
Sem Tributos   (R$)]]/(1-('Valores Finais'!$C$10))</f>
        <v>0</v>
      </c>
      <c r="P42" s="93">
        <f>Materiais[[#This Row],[Valor Venda c/ Potencial Desconto  em Material (R$)]]/(1-('Valores Finais'!$B$6))</f>
        <v>0</v>
      </c>
      <c r="Q42" s="84">
        <f>'Valores Finais'!$B$10</f>
        <v>0.12</v>
      </c>
      <c r="R42" s="76">
        <f>Materiais[[#This Row],[Valor Venda c/ Comissões (R$)]]/(1-Materiais[[#This Row],[Tributos
(%)]])-Materiais[[#This Row],[Valor Venda c/ Comissões (R$)]]</f>
        <v>0</v>
      </c>
      <c r="S42" s="76">
        <f>Materiais[[#This Row],[Valor Venda c/ Comissões (R$)]]+Materiais[[#This Row],[Tributos
(R$)]]</f>
        <v>0</v>
      </c>
      <c r="T42" s="185"/>
      <c r="U42" s="186">
        <f ca="1">IF(Materiais[[#This Row],[Data Update]] = "",0,IF(_xlfn.DAYS(NOW(),Materiais[[#This Row],[Data Update]])&lt;=0,0,_xlfn.DAYS(NOW(),Materiais[[#This Row],[Data Update]])))</f>
        <v>0</v>
      </c>
    </row>
    <row r="43" spans="1:21" s="51" customFormat="1" x14ac:dyDescent="0.2">
      <c r="A43" s="46"/>
      <c r="B43" s="46"/>
      <c r="C43" s="46"/>
      <c r="D43" s="46"/>
      <c r="E43" s="46"/>
      <c r="F43" s="138"/>
      <c r="G43" s="129"/>
      <c r="H43" s="180"/>
      <c r="I43" s="5">
        <f>(Materiais[[#This Row],[Qtde.]]*Materiais[[#This Row],[Custo Unitário
Sem Tributos (R$)]])</f>
        <v>0</v>
      </c>
      <c r="J43" s="92">
        <v>0</v>
      </c>
      <c r="K43" s="140">
        <f>Materiais[[#This Row],[Custo Total
Sem Tributos (R$)]]*Materiais[[#This Row],[IPI
(%)]]+Materiais[[#This Row],[Custo Total
Sem Tributos (R$)]]</f>
        <v>0</v>
      </c>
      <c r="L43" s="92">
        <v>0.1</v>
      </c>
      <c r="M43" s="76">
        <f>Materiais[[#This Row],[Custo Total
Com IPI (R$)]]/(1-Materiais[[#This Row],[Margem
(%)]])</f>
        <v>0</v>
      </c>
      <c r="N43" s="16">
        <f>Materiais[[#This Row],[Valor Venda c/ Potencial Desconto  em Material (R$)]]-Materiais[[#This Row],[Custo Total
Com IPI (R$)]]</f>
        <v>0</v>
      </c>
      <c r="O43" s="93">
        <f>Materiais[[#This Row],[Valor Total
Com Margem
Sem Tributos   (R$)]]/(1-('Valores Finais'!$C$10))</f>
        <v>0</v>
      </c>
      <c r="P43" s="93">
        <f>Materiais[[#This Row],[Valor Venda c/ Potencial Desconto  em Material (R$)]]/(1-('Valores Finais'!$B$6))</f>
        <v>0</v>
      </c>
      <c r="Q43" s="84">
        <f>'Valores Finais'!$B$10</f>
        <v>0.12</v>
      </c>
      <c r="R43" s="76">
        <f>Materiais[[#This Row],[Valor Venda c/ Comissões (R$)]]/(1-Materiais[[#This Row],[Tributos
(%)]])-Materiais[[#This Row],[Valor Venda c/ Comissões (R$)]]</f>
        <v>0</v>
      </c>
      <c r="S43" s="76">
        <f>Materiais[[#This Row],[Valor Venda c/ Comissões (R$)]]+Materiais[[#This Row],[Tributos
(R$)]]</f>
        <v>0</v>
      </c>
      <c r="T43" s="185"/>
      <c r="U43" s="186">
        <f ca="1">IF(Materiais[[#This Row],[Data Update]] = "",0,IF(_xlfn.DAYS(NOW(),Materiais[[#This Row],[Data Update]])&lt;=0,0,_xlfn.DAYS(NOW(),Materiais[[#This Row],[Data Update]])))</f>
        <v>0</v>
      </c>
    </row>
    <row r="44" spans="1:21" s="51" customFormat="1" x14ac:dyDescent="0.2">
      <c r="A44" s="46"/>
      <c r="B44" s="46"/>
      <c r="C44" s="46"/>
      <c r="D44" s="46"/>
      <c r="E44" s="46"/>
      <c r="F44" s="138"/>
      <c r="G44" s="129"/>
      <c r="H44" s="180"/>
      <c r="I44" s="5">
        <f>(Materiais[[#This Row],[Qtde.]]*Materiais[[#This Row],[Custo Unitário
Sem Tributos (R$)]])</f>
        <v>0</v>
      </c>
      <c r="J44" s="92">
        <v>0</v>
      </c>
      <c r="K44" s="140">
        <f>Materiais[[#This Row],[Custo Total
Sem Tributos (R$)]]*Materiais[[#This Row],[IPI
(%)]]+Materiais[[#This Row],[Custo Total
Sem Tributos (R$)]]</f>
        <v>0</v>
      </c>
      <c r="L44" s="92">
        <v>0.1</v>
      </c>
      <c r="M44" s="76">
        <f>Materiais[[#This Row],[Custo Total
Com IPI (R$)]]/(1-Materiais[[#This Row],[Margem
(%)]])</f>
        <v>0</v>
      </c>
      <c r="N44" s="16">
        <f>Materiais[[#This Row],[Valor Venda c/ Potencial Desconto  em Material (R$)]]-Materiais[[#This Row],[Custo Total
Com IPI (R$)]]</f>
        <v>0</v>
      </c>
      <c r="O44" s="93">
        <f>Materiais[[#This Row],[Valor Total
Com Margem
Sem Tributos   (R$)]]/(1-('Valores Finais'!$C$10))</f>
        <v>0</v>
      </c>
      <c r="P44" s="93">
        <f>Materiais[[#This Row],[Valor Venda c/ Potencial Desconto  em Material (R$)]]/(1-('Valores Finais'!$B$6))</f>
        <v>0</v>
      </c>
      <c r="Q44" s="84">
        <f>'Valores Finais'!$B$10</f>
        <v>0.12</v>
      </c>
      <c r="R44" s="76">
        <f>Materiais[[#This Row],[Valor Venda c/ Comissões (R$)]]/(1-Materiais[[#This Row],[Tributos
(%)]])-Materiais[[#This Row],[Valor Venda c/ Comissões (R$)]]</f>
        <v>0</v>
      </c>
      <c r="S44" s="76">
        <f>Materiais[[#This Row],[Valor Venda c/ Comissões (R$)]]+Materiais[[#This Row],[Tributos
(R$)]]</f>
        <v>0</v>
      </c>
      <c r="T44" s="185"/>
      <c r="U44" s="186">
        <f ca="1">IF(Materiais[[#This Row],[Data Update]] = "",0,IF(_xlfn.DAYS(NOW(),Materiais[[#This Row],[Data Update]])&lt;=0,0,_xlfn.DAYS(NOW(),Materiais[[#This Row],[Data Update]])))</f>
        <v>0</v>
      </c>
    </row>
    <row r="45" spans="1:21" s="51" customFormat="1" x14ac:dyDescent="0.2">
      <c r="A45" s="46"/>
      <c r="B45" s="46"/>
      <c r="C45" s="46"/>
      <c r="D45" s="46"/>
      <c r="E45" s="46"/>
      <c r="F45" s="138"/>
      <c r="G45" s="129"/>
      <c r="H45" s="180"/>
      <c r="I45" s="5">
        <f>(Materiais[[#This Row],[Qtde.]]*Materiais[[#This Row],[Custo Unitário
Sem Tributos (R$)]])</f>
        <v>0</v>
      </c>
      <c r="J45" s="92">
        <v>0</v>
      </c>
      <c r="K45" s="140">
        <f>Materiais[[#This Row],[Custo Total
Sem Tributos (R$)]]*Materiais[[#This Row],[IPI
(%)]]+Materiais[[#This Row],[Custo Total
Sem Tributos (R$)]]</f>
        <v>0</v>
      </c>
      <c r="L45" s="92">
        <v>0.1</v>
      </c>
      <c r="M45" s="76">
        <f>Materiais[[#This Row],[Custo Total
Com IPI (R$)]]/(1-Materiais[[#This Row],[Margem
(%)]])</f>
        <v>0</v>
      </c>
      <c r="N45" s="16">
        <f>Materiais[[#This Row],[Valor Venda c/ Potencial Desconto  em Material (R$)]]-Materiais[[#This Row],[Custo Total
Com IPI (R$)]]</f>
        <v>0</v>
      </c>
      <c r="O45" s="93">
        <f>Materiais[[#This Row],[Valor Total
Com Margem
Sem Tributos   (R$)]]/(1-('Valores Finais'!$C$10))</f>
        <v>0</v>
      </c>
      <c r="P45" s="93">
        <f>Materiais[[#This Row],[Valor Venda c/ Potencial Desconto  em Material (R$)]]/(1-('Valores Finais'!$B$6))</f>
        <v>0</v>
      </c>
      <c r="Q45" s="84">
        <f>'Valores Finais'!$B$10</f>
        <v>0.12</v>
      </c>
      <c r="R45" s="76">
        <f>Materiais[[#This Row],[Valor Venda c/ Comissões (R$)]]/(1-Materiais[[#This Row],[Tributos
(%)]])-Materiais[[#This Row],[Valor Venda c/ Comissões (R$)]]</f>
        <v>0</v>
      </c>
      <c r="S45" s="76">
        <f>Materiais[[#This Row],[Valor Venda c/ Comissões (R$)]]+Materiais[[#This Row],[Tributos
(R$)]]</f>
        <v>0</v>
      </c>
      <c r="T45" s="185"/>
      <c r="U45" s="186">
        <f ca="1">IF(Materiais[[#This Row],[Data Update]] = "",0,IF(_xlfn.DAYS(NOW(),Materiais[[#This Row],[Data Update]])&lt;=0,0,_xlfn.DAYS(NOW(),Materiais[[#This Row],[Data Update]])))</f>
        <v>0</v>
      </c>
    </row>
    <row r="46" spans="1:21" s="51" customFormat="1" x14ac:dyDescent="0.2">
      <c r="A46" s="46"/>
      <c r="B46" s="46"/>
      <c r="C46" s="46"/>
      <c r="D46" s="46"/>
      <c r="E46" s="46"/>
      <c r="F46" s="138"/>
      <c r="G46" s="129"/>
      <c r="H46" s="180"/>
      <c r="I46" s="5">
        <f>(Materiais[[#This Row],[Qtde.]]*Materiais[[#This Row],[Custo Unitário
Sem Tributos (R$)]])</f>
        <v>0</v>
      </c>
      <c r="J46" s="92">
        <v>0</v>
      </c>
      <c r="K46" s="140">
        <f>Materiais[[#This Row],[Custo Total
Sem Tributos (R$)]]*Materiais[[#This Row],[IPI
(%)]]+Materiais[[#This Row],[Custo Total
Sem Tributos (R$)]]</f>
        <v>0</v>
      </c>
      <c r="L46" s="92">
        <v>0.1</v>
      </c>
      <c r="M46" s="76">
        <f>Materiais[[#This Row],[Custo Total
Com IPI (R$)]]/(1-Materiais[[#This Row],[Margem
(%)]])</f>
        <v>0</v>
      </c>
      <c r="N46" s="16">
        <f>Materiais[[#This Row],[Valor Venda c/ Potencial Desconto  em Material (R$)]]-Materiais[[#This Row],[Custo Total
Com IPI (R$)]]</f>
        <v>0</v>
      </c>
      <c r="O46" s="93">
        <f>Materiais[[#This Row],[Valor Total
Com Margem
Sem Tributos   (R$)]]/(1-('Valores Finais'!$C$10))</f>
        <v>0</v>
      </c>
      <c r="P46" s="93">
        <f>Materiais[[#This Row],[Valor Venda c/ Potencial Desconto  em Material (R$)]]/(1-('Valores Finais'!$B$6))</f>
        <v>0</v>
      </c>
      <c r="Q46" s="84">
        <f>'Valores Finais'!$B$10</f>
        <v>0.12</v>
      </c>
      <c r="R46" s="76">
        <f>Materiais[[#This Row],[Valor Venda c/ Comissões (R$)]]/(1-Materiais[[#This Row],[Tributos
(%)]])-Materiais[[#This Row],[Valor Venda c/ Comissões (R$)]]</f>
        <v>0</v>
      </c>
      <c r="S46" s="76">
        <f>Materiais[[#This Row],[Valor Venda c/ Comissões (R$)]]+Materiais[[#This Row],[Tributos
(R$)]]</f>
        <v>0</v>
      </c>
      <c r="T46" s="185"/>
      <c r="U46" s="186">
        <f ca="1">IF(Materiais[[#This Row],[Data Update]] = "",0,IF(_xlfn.DAYS(NOW(),Materiais[[#This Row],[Data Update]])&lt;=0,0,_xlfn.DAYS(NOW(),Materiais[[#This Row],[Data Update]])))</f>
        <v>0</v>
      </c>
    </row>
    <row r="47" spans="1:21" s="51" customFormat="1" x14ac:dyDescent="0.2">
      <c r="A47" s="46"/>
      <c r="B47" s="46"/>
      <c r="C47" s="46"/>
      <c r="D47" s="46"/>
      <c r="E47" s="46"/>
      <c r="F47" s="138"/>
      <c r="G47" s="129"/>
      <c r="H47" s="180"/>
      <c r="I47" s="5">
        <f>(Materiais[[#This Row],[Qtde.]]*Materiais[[#This Row],[Custo Unitário
Sem Tributos (R$)]])</f>
        <v>0</v>
      </c>
      <c r="J47" s="92">
        <v>0</v>
      </c>
      <c r="K47" s="140">
        <f>Materiais[[#This Row],[Custo Total
Sem Tributos (R$)]]*Materiais[[#This Row],[IPI
(%)]]+Materiais[[#This Row],[Custo Total
Sem Tributos (R$)]]</f>
        <v>0</v>
      </c>
      <c r="L47" s="92">
        <v>0.1</v>
      </c>
      <c r="M47" s="76">
        <f>Materiais[[#This Row],[Custo Total
Com IPI (R$)]]/(1-Materiais[[#This Row],[Margem
(%)]])</f>
        <v>0</v>
      </c>
      <c r="N47" s="16">
        <f>Materiais[[#This Row],[Valor Venda c/ Potencial Desconto  em Material (R$)]]-Materiais[[#This Row],[Custo Total
Com IPI (R$)]]</f>
        <v>0</v>
      </c>
      <c r="O47" s="93">
        <f>Materiais[[#This Row],[Valor Total
Com Margem
Sem Tributos   (R$)]]/(1-('Valores Finais'!$C$10))</f>
        <v>0</v>
      </c>
      <c r="P47" s="93">
        <f>Materiais[[#This Row],[Valor Venda c/ Potencial Desconto  em Material (R$)]]/(1-('Valores Finais'!$B$6))</f>
        <v>0</v>
      </c>
      <c r="Q47" s="84">
        <f>'Valores Finais'!$B$10</f>
        <v>0.12</v>
      </c>
      <c r="R47" s="76">
        <f>Materiais[[#This Row],[Valor Venda c/ Comissões (R$)]]/(1-Materiais[[#This Row],[Tributos
(%)]])-Materiais[[#This Row],[Valor Venda c/ Comissões (R$)]]</f>
        <v>0</v>
      </c>
      <c r="S47" s="76">
        <f>Materiais[[#This Row],[Valor Venda c/ Comissões (R$)]]+Materiais[[#This Row],[Tributos
(R$)]]</f>
        <v>0</v>
      </c>
      <c r="T47" s="185"/>
      <c r="U47" s="186">
        <f ca="1">IF(Materiais[[#This Row],[Data Update]] = "",0,IF(_xlfn.DAYS(NOW(),Materiais[[#This Row],[Data Update]])&lt;=0,0,_xlfn.DAYS(NOW(),Materiais[[#This Row],[Data Update]])))</f>
        <v>0</v>
      </c>
    </row>
    <row r="48" spans="1:21" s="51" customFormat="1" x14ac:dyDescent="0.2">
      <c r="A48" s="46"/>
      <c r="B48" s="46"/>
      <c r="C48" s="46"/>
      <c r="D48" s="46"/>
      <c r="E48" s="46"/>
      <c r="F48" s="138"/>
      <c r="G48" s="129"/>
      <c r="H48" s="180"/>
      <c r="I48" s="5">
        <f>(Materiais[[#This Row],[Qtde.]]*Materiais[[#This Row],[Custo Unitário
Sem Tributos (R$)]])</f>
        <v>0</v>
      </c>
      <c r="J48" s="92">
        <v>0</v>
      </c>
      <c r="K48" s="140">
        <f>Materiais[[#This Row],[Custo Total
Sem Tributos (R$)]]*Materiais[[#This Row],[IPI
(%)]]+Materiais[[#This Row],[Custo Total
Sem Tributos (R$)]]</f>
        <v>0</v>
      </c>
      <c r="L48" s="92">
        <v>0.1</v>
      </c>
      <c r="M48" s="76">
        <f>Materiais[[#This Row],[Custo Total
Com IPI (R$)]]/(1-Materiais[[#This Row],[Margem
(%)]])</f>
        <v>0</v>
      </c>
      <c r="N48" s="16">
        <f>Materiais[[#This Row],[Valor Venda c/ Potencial Desconto  em Material (R$)]]-Materiais[[#This Row],[Custo Total
Com IPI (R$)]]</f>
        <v>0</v>
      </c>
      <c r="O48" s="93">
        <f>Materiais[[#This Row],[Valor Total
Com Margem
Sem Tributos   (R$)]]/(1-('Valores Finais'!$C$10))</f>
        <v>0</v>
      </c>
      <c r="P48" s="93">
        <f>Materiais[[#This Row],[Valor Venda c/ Potencial Desconto  em Material (R$)]]/(1-('Valores Finais'!$B$6))</f>
        <v>0</v>
      </c>
      <c r="Q48" s="84">
        <f>'Valores Finais'!$B$10</f>
        <v>0.12</v>
      </c>
      <c r="R48" s="76">
        <f>Materiais[[#This Row],[Valor Venda c/ Comissões (R$)]]/(1-Materiais[[#This Row],[Tributos
(%)]])-Materiais[[#This Row],[Valor Venda c/ Comissões (R$)]]</f>
        <v>0</v>
      </c>
      <c r="S48" s="76">
        <f>Materiais[[#This Row],[Valor Venda c/ Comissões (R$)]]+Materiais[[#This Row],[Tributos
(R$)]]</f>
        <v>0</v>
      </c>
      <c r="T48" s="185"/>
      <c r="U48" s="186">
        <f ca="1">IF(Materiais[[#This Row],[Data Update]] = "",0,IF(_xlfn.DAYS(NOW(),Materiais[[#This Row],[Data Update]])&lt;=0,0,_xlfn.DAYS(NOW(),Materiais[[#This Row],[Data Update]])))</f>
        <v>0</v>
      </c>
    </row>
    <row r="49" spans="1:21" s="51" customFormat="1" x14ac:dyDescent="0.2">
      <c r="A49" s="46"/>
      <c r="B49" s="46"/>
      <c r="C49" s="46"/>
      <c r="D49" s="46"/>
      <c r="E49" s="46"/>
      <c r="F49" s="138"/>
      <c r="G49" s="129"/>
      <c r="H49" s="180"/>
      <c r="I49" s="5">
        <f>(Materiais[[#This Row],[Qtde.]]*Materiais[[#This Row],[Custo Unitário
Sem Tributos (R$)]])</f>
        <v>0</v>
      </c>
      <c r="J49" s="92">
        <v>0</v>
      </c>
      <c r="K49" s="140">
        <f>Materiais[[#This Row],[Custo Total
Sem Tributos (R$)]]*Materiais[[#This Row],[IPI
(%)]]+Materiais[[#This Row],[Custo Total
Sem Tributos (R$)]]</f>
        <v>0</v>
      </c>
      <c r="L49" s="92">
        <v>0.1</v>
      </c>
      <c r="M49" s="76">
        <f>Materiais[[#This Row],[Custo Total
Com IPI (R$)]]/(1-Materiais[[#This Row],[Margem
(%)]])</f>
        <v>0</v>
      </c>
      <c r="N49" s="16">
        <f>Materiais[[#This Row],[Valor Venda c/ Potencial Desconto  em Material (R$)]]-Materiais[[#This Row],[Custo Total
Com IPI (R$)]]</f>
        <v>0</v>
      </c>
      <c r="O49" s="93">
        <f>Materiais[[#This Row],[Valor Total
Com Margem
Sem Tributos   (R$)]]/(1-('Valores Finais'!$C$10))</f>
        <v>0</v>
      </c>
      <c r="P49" s="93">
        <f>Materiais[[#This Row],[Valor Venda c/ Potencial Desconto  em Material (R$)]]/(1-('Valores Finais'!$B$6))</f>
        <v>0</v>
      </c>
      <c r="Q49" s="84">
        <f>'Valores Finais'!$B$10</f>
        <v>0.12</v>
      </c>
      <c r="R49" s="76">
        <f>Materiais[[#This Row],[Valor Venda c/ Comissões (R$)]]/(1-Materiais[[#This Row],[Tributos
(%)]])-Materiais[[#This Row],[Valor Venda c/ Comissões (R$)]]</f>
        <v>0</v>
      </c>
      <c r="S49" s="76">
        <f>Materiais[[#This Row],[Valor Venda c/ Comissões (R$)]]+Materiais[[#This Row],[Tributos
(R$)]]</f>
        <v>0</v>
      </c>
      <c r="T49" s="185"/>
      <c r="U49" s="186">
        <f ca="1">IF(Materiais[[#This Row],[Data Update]] = "",0,IF(_xlfn.DAYS(NOW(),Materiais[[#This Row],[Data Update]])&lt;=0,0,_xlfn.DAYS(NOW(),Materiais[[#This Row],[Data Update]])))</f>
        <v>0</v>
      </c>
    </row>
    <row r="50" spans="1:21" s="51" customFormat="1" x14ac:dyDescent="0.2">
      <c r="A50" s="46"/>
      <c r="B50" s="46"/>
      <c r="C50" s="46"/>
      <c r="D50" s="46"/>
      <c r="E50" s="46"/>
      <c r="F50" s="138"/>
      <c r="G50" s="129"/>
      <c r="H50" s="180"/>
      <c r="I50" s="5">
        <f>(Materiais[[#This Row],[Qtde.]]*Materiais[[#This Row],[Custo Unitário
Sem Tributos (R$)]])</f>
        <v>0</v>
      </c>
      <c r="J50" s="92">
        <v>0</v>
      </c>
      <c r="K50" s="140">
        <f>Materiais[[#This Row],[Custo Total
Sem Tributos (R$)]]*Materiais[[#This Row],[IPI
(%)]]+Materiais[[#This Row],[Custo Total
Sem Tributos (R$)]]</f>
        <v>0</v>
      </c>
      <c r="L50" s="92">
        <v>0.1</v>
      </c>
      <c r="M50" s="76">
        <f>Materiais[[#This Row],[Custo Total
Com IPI (R$)]]/(1-Materiais[[#This Row],[Margem
(%)]])</f>
        <v>0</v>
      </c>
      <c r="N50" s="16">
        <f>Materiais[[#This Row],[Valor Venda c/ Potencial Desconto  em Material (R$)]]-Materiais[[#This Row],[Custo Total
Com IPI (R$)]]</f>
        <v>0</v>
      </c>
      <c r="O50" s="93">
        <f>Materiais[[#This Row],[Valor Total
Com Margem
Sem Tributos   (R$)]]/(1-('Valores Finais'!$C$10))</f>
        <v>0</v>
      </c>
      <c r="P50" s="93">
        <f>Materiais[[#This Row],[Valor Venda c/ Potencial Desconto  em Material (R$)]]/(1-('Valores Finais'!$B$6))</f>
        <v>0</v>
      </c>
      <c r="Q50" s="84">
        <f>'Valores Finais'!$B$10</f>
        <v>0.12</v>
      </c>
      <c r="R50" s="76">
        <f>Materiais[[#This Row],[Valor Venda c/ Comissões (R$)]]/(1-Materiais[[#This Row],[Tributos
(%)]])-Materiais[[#This Row],[Valor Venda c/ Comissões (R$)]]</f>
        <v>0</v>
      </c>
      <c r="S50" s="76">
        <f>Materiais[[#This Row],[Valor Venda c/ Comissões (R$)]]+Materiais[[#This Row],[Tributos
(R$)]]</f>
        <v>0</v>
      </c>
      <c r="T50" s="185"/>
      <c r="U50" s="186">
        <f ca="1">IF(Materiais[[#This Row],[Data Update]] = "",0,IF(_xlfn.DAYS(NOW(),Materiais[[#This Row],[Data Update]])&lt;=0,0,_xlfn.DAYS(NOW(),Materiais[[#This Row],[Data Update]])))</f>
        <v>0</v>
      </c>
    </row>
    <row r="51" spans="1:21" s="51" customFormat="1" x14ac:dyDescent="0.2">
      <c r="A51" s="46"/>
      <c r="B51" s="46"/>
      <c r="C51" s="46"/>
      <c r="D51" s="46"/>
      <c r="E51" s="46"/>
      <c r="F51" s="138"/>
      <c r="G51" s="129"/>
      <c r="H51" s="180"/>
      <c r="I51" s="5">
        <f>(Materiais[[#This Row],[Qtde.]]*Materiais[[#This Row],[Custo Unitário
Sem Tributos (R$)]])</f>
        <v>0</v>
      </c>
      <c r="J51" s="92">
        <v>0</v>
      </c>
      <c r="K51" s="140">
        <f>Materiais[[#This Row],[Custo Total
Sem Tributos (R$)]]*Materiais[[#This Row],[IPI
(%)]]+Materiais[[#This Row],[Custo Total
Sem Tributos (R$)]]</f>
        <v>0</v>
      </c>
      <c r="L51" s="92">
        <v>0.1</v>
      </c>
      <c r="M51" s="76">
        <f>Materiais[[#This Row],[Custo Total
Com IPI (R$)]]/(1-Materiais[[#This Row],[Margem
(%)]])</f>
        <v>0</v>
      </c>
      <c r="N51" s="16">
        <f>Materiais[[#This Row],[Valor Venda c/ Potencial Desconto  em Material (R$)]]-Materiais[[#This Row],[Custo Total
Com IPI (R$)]]</f>
        <v>0</v>
      </c>
      <c r="O51" s="93">
        <f>Materiais[[#This Row],[Valor Total
Com Margem
Sem Tributos   (R$)]]/(1-('Valores Finais'!$C$10))</f>
        <v>0</v>
      </c>
      <c r="P51" s="93">
        <f>Materiais[[#This Row],[Valor Venda c/ Potencial Desconto  em Material (R$)]]/(1-('Valores Finais'!$B$6))</f>
        <v>0</v>
      </c>
      <c r="Q51" s="84">
        <f>'Valores Finais'!$B$10</f>
        <v>0.12</v>
      </c>
      <c r="R51" s="76">
        <f>Materiais[[#This Row],[Valor Venda c/ Comissões (R$)]]/(1-Materiais[[#This Row],[Tributos
(%)]])-Materiais[[#This Row],[Valor Venda c/ Comissões (R$)]]</f>
        <v>0</v>
      </c>
      <c r="S51" s="76">
        <f>Materiais[[#This Row],[Valor Venda c/ Comissões (R$)]]+Materiais[[#This Row],[Tributos
(R$)]]</f>
        <v>0</v>
      </c>
      <c r="T51" s="185"/>
      <c r="U51" s="186">
        <f ca="1">IF(Materiais[[#This Row],[Data Update]] = "",0,IF(_xlfn.DAYS(NOW(),Materiais[[#This Row],[Data Update]])&lt;=0,0,_xlfn.DAYS(NOW(),Materiais[[#This Row],[Data Update]])))</f>
        <v>0</v>
      </c>
    </row>
    <row r="52" spans="1:21" s="51" customFormat="1" x14ac:dyDescent="0.2">
      <c r="A52" s="46"/>
      <c r="B52" s="46"/>
      <c r="C52" s="46"/>
      <c r="D52" s="46"/>
      <c r="E52" s="46"/>
      <c r="F52" s="138"/>
      <c r="G52" s="129"/>
      <c r="H52" s="180"/>
      <c r="I52" s="5">
        <f>(Materiais[[#This Row],[Qtde.]]*Materiais[[#This Row],[Custo Unitário
Sem Tributos (R$)]])</f>
        <v>0</v>
      </c>
      <c r="J52" s="92">
        <v>0</v>
      </c>
      <c r="K52" s="140">
        <f>Materiais[[#This Row],[Custo Total
Sem Tributos (R$)]]*Materiais[[#This Row],[IPI
(%)]]+Materiais[[#This Row],[Custo Total
Sem Tributos (R$)]]</f>
        <v>0</v>
      </c>
      <c r="L52" s="92">
        <v>0.1</v>
      </c>
      <c r="M52" s="76">
        <f>Materiais[[#This Row],[Custo Total
Com IPI (R$)]]/(1-Materiais[[#This Row],[Margem
(%)]])</f>
        <v>0</v>
      </c>
      <c r="N52" s="16">
        <f>Materiais[[#This Row],[Valor Venda c/ Potencial Desconto  em Material (R$)]]-Materiais[[#This Row],[Custo Total
Com IPI (R$)]]</f>
        <v>0</v>
      </c>
      <c r="O52" s="93">
        <f>Materiais[[#This Row],[Valor Total
Com Margem
Sem Tributos   (R$)]]/(1-('Valores Finais'!$C$10))</f>
        <v>0</v>
      </c>
      <c r="P52" s="93">
        <f>Materiais[[#This Row],[Valor Venda c/ Potencial Desconto  em Material (R$)]]/(1-('Valores Finais'!$B$6))</f>
        <v>0</v>
      </c>
      <c r="Q52" s="84">
        <f>'Valores Finais'!$B$10</f>
        <v>0.12</v>
      </c>
      <c r="R52" s="76">
        <f>Materiais[[#This Row],[Valor Venda c/ Comissões (R$)]]/(1-Materiais[[#This Row],[Tributos
(%)]])-Materiais[[#This Row],[Valor Venda c/ Comissões (R$)]]</f>
        <v>0</v>
      </c>
      <c r="S52" s="76">
        <f>Materiais[[#This Row],[Valor Venda c/ Comissões (R$)]]+Materiais[[#This Row],[Tributos
(R$)]]</f>
        <v>0</v>
      </c>
      <c r="T52" s="185"/>
      <c r="U52" s="186">
        <f ca="1">IF(Materiais[[#This Row],[Data Update]] = "",0,IF(_xlfn.DAYS(NOW(),Materiais[[#This Row],[Data Update]])&lt;=0,0,_xlfn.DAYS(NOW(),Materiais[[#This Row],[Data Update]])))</f>
        <v>0</v>
      </c>
    </row>
    <row r="53" spans="1:21" s="51" customFormat="1" x14ac:dyDescent="0.2">
      <c r="A53" s="46"/>
      <c r="B53" s="46"/>
      <c r="C53" s="46"/>
      <c r="D53" s="46"/>
      <c r="E53" s="46"/>
      <c r="F53" s="138"/>
      <c r="G53" s="129"/>
      <c r="H53" s="180"/>
      <c r="I53" s="5">
        <f>(Materiais[[#This Row],[Qtde.]]*Materiais[[#This Row],[Custo Unitário
Sem Tributos (R$)]])</f>
        <v>0</v>
      </c>
      <c r="J53" s="92">
        <v>0</v>
      </c>
      <c r="K53" s="140">
        <f>Materiais[[#This Row],[Custo Total
Sem Tributos (R$)]]*Materiais[[#This Row],[IPI
(%)]]+Materiais[[#This Row],[Custo Total
Sem Tributos (R$)]]</f>
        <v>0</v>
      </c>
      <c r="L53" s="92">
        <v>0.1</v>
      </c>
      <c r="M53" s="76">
        <f>Materiais[[#This Row],[Custo Total
Com IPI (R$)]]/(1-Materiais[[#This Row],[Margem
(%)]])</f>
        <v>0</v>
      </c>
      <c r="N53" s="16">
        <f>Materiais[[#This Row],[Valor Venda c/ Potencial Desconto  em Material (R$)]]-Materiais[[#This Row],[Custo Total
Com IPI (R$)]]</f>
        <v>0</v>
      </c>
      <c r="O53" s="93">
        <f>Materiais[[#This Row],[Valor Total
Com Margem
Sem Tributos   (R$)]]/(1-('Valores Finais'!$C$10))</f>
        <v>0</v>
      </c>
      <c r="P53" s="93">
        <f>Materiais[[#This Row],[Valor Venda c/ Potencial Desconto  em Material (R$)]]/(1-('Valores Finais'!$B$6))</f>
        <v>0</v>
      </c>
      <c r="Q53" s="84">
        <f>'Valores Finais'!$B$10</f>
        <v>0.12</v>
      </c>
      <c r="R53" s="76">
        <f>Materiais[[#This Row],[Valor Venda c/ Comissões (R$)]]/(1-Materiais[[#This Row],[Tributos
(%)]])-Materiais[[#This Row],[Valor Venda c/ Comissões (R$)]]</f>
        <v>0</v>
      </c>
      <c r="S53" s="76">
        <f>Materiais[[#This Row],[Valor Venda c/ Comissões (R$)]]+Materiais[[#This Row],[Tributos
(R$)]]</f>
        <v>0</v>
      </c>
      <c r="T53" s="185"/>
      <c r="U53" s="186">
        <f ca="1">IF(Materiais[[#This Row],[Data Update]] = "",0,IF(_xlfn.DAYS(NOW(),Materiais[[#This Row],[Data Update]])&lt;=0,0,_xlfn.DAYS(NOW(),Materiais[[#This Row],[Data Update]])))</f>
        <v>0</v>
      </c>
    </row>
    <row r="54" spans="1:21" s="51" customFormat="1" x14ac:dyDescent="0.2">
      <c r="A54" s="46"/>
      <c r="B54" s="46"/>
      <c r="C54" s="46"/>
      <c r="D54" s="46"/>
      <c r="E54" s="46"/>
      <c r="F54" s="138"/>
      <c r="G54" s="129"/>
      <c r="H54" s="180"/>
      <c r="I54" s="5">
        <f>(Materiais[[#This Row],[Qtde.]]*Materiais[[#This Row],[Custo Unitário
Sem Tributos (R$)]])</f>
        <v>0</v>
      </c>
      <c r="J54" s="92">
        <v>0</v>
      </c>
      <c r="K54" s="140">
        <f>Materiais[[#This Row],[Custo Total
Sem Tributos (R$)]]*Materiais[[#This Row],[IPI
(%)]]+Materiais[[#This Row],[Custo Total
Sem Tributos (R$)]]</f>
        <v>0</v>
      </c>
      <c r="L54" s="92">
        <v>0.1</v>
      </c>
      <c r="M54" s="76">
        <f>Materiais[[#This Row],[Custo Total
Com IPI (R$)]]/(1-Materiais[[#This Row],[Margem
(%)]])</f>
        <v>0</v>
      </c>
      <c r="N54" s="16">
        <f>Materiais[[#This Row],[Valor Venda c/ Potencial Desconto  em Material (R$)]]-Materiais[[#This Row],[Custo Total
Com IPI (R$)]]</f>
        <v>0</v>
      </c>
      <c r="O54" s="93">
        <f>Materiais[[#This Row],[Valor Total
Com Margem
Sem Tributos   (R$)]]/(1-('Valores Finais'!$C$10))</f>
        <v>0</v>
      </c>
      <c r="P54" s="93">
        <f>Materiais[[#This Row],[Valor Venda c/ Potencial Desconto  em Material (R$)]]/(1-('Valores Finais'!$B$6))</f>
        <v>0</v>
      </c>
      <c r="Q54" s="84">
        <f>'Valores Finais'!$B$10</f>
        <v>0.12</v>
      </c>
      <c r="R54" s="76">
        <f>Materiais[[#This Row],[Valor Venda c/ Comissões (R$)]]/(1-Materiais[[#This Row],[Tributos
(%)]])-Materiais[[#This Row],[Valor Venda c/ Comissões (R$)]]</f>
        <v>0</v>
      </c>
      <c r="S54" s="76">
        <f>Materiais[[#This Row],[Valor Venda c/ Comissões (R$)]]+Materiais[[#This Row],[Tributos
(R$)]]</f>
        <v>0</v>
      </c>
      <c r="T54" s="185"/>
      <c r="U54" s="186">
        <f ca="1">IF(Materiais[[#This Row],[Data Update]] = "",0,IF(_xlfn.DAYS(NOW(),Materiais[[#This Row],[Data Update]])&lt;=0,0,_xlfn.DAYS(NOW(),Materiais[[#This Row],[Data Update]])))</f>
        <v>0</v>
      </c>
    </row>
    <row r="55" spans="1:21" s="51" customFormat="1" x14ac:dyDescent="0.2">
      <c r="A55" s="46"/>
      <c r="B55" s="46"/>
      <c r="C55" s="46"/>
      <c r="D55" s="46"/>
      <c r="E55" s="46"/>
      <c r="F55" s="138"/>
      <c r="G55" s="129"/>
      <c r="H55" s="180"/>
      <c r="I55" s="5">
        <f>(Materiais[[#This Row],[Qtde.]]*Materiais[[#This Row],[Custo Unitário
Sem Tributos (R$)]])</f>
        <v>0</v>
      </c>
      <c r="J55" s="92">
        <v>0</v>
      </c>
      <c r="K55" s="140">
        <f>Materiais[[#This Row],[Custo Total
Sem Tributos (R$)]]*Materiais[[#This Row],[IPI
(%)]]+Materiais[[#This Row],[Custo Total
Sem Tributos (R$)]]</f>
        <v>0</v>
      </c>
      <c r="L55" s="92">
        <v>0.1</v>
      </c>
      <c r="M55" s="76">
        <f>Materiais[[#This Row],[Custo Total
Com IPI (R$)]]/(1-Materiais[[#This Row],[Margem
(%)]])</f>
        <v>0</v>
      </c>
      <c r="N55" s="16">
        <f>Materiais[[#This Row],[Valor Venda c/ Potencial Desconto  em Material (R$)]]-Materiais[[#This Row],[Custo Total
Com IPI (R$)]]</f>
        <v>0</v>
      </c>
      <c r="O55" s="93">
        <f>Materiais[[#This Row],[Valor Total
Com Margem
Sem Tributos   (R$)]]/(1-('Valores Finais'!$C$10))</f>
        <v>0</v>
      </c>
      <c r="P55" s="93">
        <f>Materiais[[#This Row],[Valor Venda c/ Potencial Desconto  em Material (R$)]]/(1-('Valores Finais'!$B$6))</f>
        <v>0</v>
      </c>
      <c r="Q55" s="84">
        <f>'Valores Finais'!$B$10</f>
        <v>0.12</v>
      </c>
      <c r="R55" s="76">
        <f>Materiais[[#This Row],[Valor Venda c/ Comissões (R$)]]/(1-Materiais[[#This Row],[Tributos
(%)]])-Materiais[[#This Row],[Valor Venda c/ Comissões (R$)]]</f>
        <v>0</v>
      </c>
      <c r="S55" s="76">
        <f>Materiais[[#This Row],[Valor Venda c/ Comissões (R$)]]+Materiais[[#This Row],[Tributos
(R$)]]</f>
        <v>0</v>
      </c>
      <c r="T55" s="185"/>
      <c r="U55" s="186">
        <f ca="1">IF(Materiais[[#This Row],[Data Update]] = "",0,IF(_xlfn.DAYS(NOW(),Materiais[[#This Row],[Data Update]])&lt;=0,0,_xlfn.DAYS(NOW(),Materiais[[#This Row],[Data Update]])))</f>
        <v>0</v>
      </c>
    </row>
    <row r="56" spans="1:21" s="51" customFormat="1" x14ac:dyDescent="0.2">
      <c r="A56" s="46"/>
      <c r="B56" s="46"/>
      <c r="C56" s="46"/>
      <c r="D56" s="46"/>
      <c r="E56" s="46"/>
      <c r="F56" s="138"/>
      <c r="G56" s="129"/>
      <c r="H56" s="180"/>
      <c r="I56" s="5">
        <f>(Materiais[[#This Row],[Qtde.]]*Materiais[[#This Row],[Custo Unitário
Sem Tributos (R$)]])</f>
        <v>0</v>
      </c>
      <c r="J56" s="92">
        <v>0</v>
      </c>
      <c r="K56" s="140">
        <f>Materiais[[#This Row],[Custo Total
Sem Tributos (R$)]]*Materiais[[#This Row],[IPI
(%)]]+Materiais[[#This Row],[Custo Total
Sem Tributos (R$)]]</f>
        <v>0</v>
      </c>
      <c r="L56" s="92">
        <v>0.1</v>
      </c>
      <c r="M56" s="76">
        <f>Materiais[[#This Row],[Custo Total
Com IPI (R$)]]/(1-Materiais[[#This Row],[Margem
(%)]])</f>
        <v>0</v>
      </c>
      <c r="N56" s="16">
        <f>Materiais[[#This Row],[Valor Venda c/ Potencial Desconto  em Material (R$)]]-Materiais[[#This Row],[Custo Total
Com IPI (R$)]]</f>
        <v>0</v>
      </c>
      <c r="O56" s="93">
        <f>Materiais[[#This Row],[Valor Total
Com Margem
Sem Tributos   (R$)]]/(1-('Valores Finais'!$C$10))</f>
        <v>0</v>
      </c>
      <c r="P56" s="93">
        <f>Materiais[[#This Row],[Valor Venda c/ Potencial Desconto  em Material (R$)]]/(1-('Valores Finais'!$B$6))</f>
        <v>0</v>
      </c>
      <c r="Q56" s="84">
        <f>'Valores Finais'!$B$10</f>
        <v>0.12</v>
      </c>
      <c r="R56" s="76">
        <f>Materiais[[#This Row],[Valor Venda c/ Comissões (R$)]]/(1-Materiais[[#This Row],[Tributos
(%)]])-Materiais[[#This Row],[Valor Venda c/ Comissões (R$)]]</f>
        <v>0</v>
      </c>
      <c r="S56" s="76">
        <f>Materiais[[#This Row],[Valor Venda c/ Comissões (R$)]]+Materiais[[#This Row],[Tributos
(R$)]]</f>
        <v>0</v>
      </c>
      <c r="T56" s="185"/>
      <c r="U56" s="186">
        <f ca="1">IF(Materiais[[#This Row],[Data Update]] = "",0,IF(_xlfn.DAYS(NOW(),Materiais[[#This Row],[Data Update]])&lt;=0,0,_xlfn.DAYS(NOW(),Materiais[[#This Row],[Data Update]])))</f>
        <v>0</v>
      </c>
    </row>
    <row r="57" spans="1:21" s="51" customFormat="1" x14ac:dyDescent="0.2">
      <c r="A57" s="46"/>
      <c r="B57" s="46"/>
      <c r="C57" s="46"/>
      <c r="D57" s="46"/>
      <c r="E57" s="46"/>
      <c r="F57" s="138"/>
      <c r="G57" s="129"/>
      <c r="H57" s="180"/>
      <c r="I57" s="5">
        <f>(Materiais[[#This Row],[Qtde.]]*Materiais[[#This Row],[Custo Unitário
Sem Tributos (R$)]])</f>
        <v>0</v>
      </c>
      <c r="J57" s="92">
        <v>0</v>
      </c>
      <c r="K57" s="140">
        <f>Materiais[[#This Row],[Custo Total
Sem Tributos (R$)]]*Materiais[[#This Row],[IPI
(%)]]+Materiais[[#This Row],[Custo Total
Sem Tributos (R$)]]</f>
        <v>0</v>
      </c>
      <c r="L57" s="92">
        <v>0.1</v>
      </c>
      <c r="M57" s="76">
        <f>Materiais[[#This Row],[Custo Total
Com IPI (R$)]]/(1-Materiais[[#This Row],[Margem
(%)]])</f>
        <v>0</v>
      </c>
      <c r="N57" s="16">
        <f>Materiais[[#This Row],[Valor Venda c/ Potencial Desconto  em Material (R$)]]-Materiais[[#This Row],[Custo Total
Com IPI (R$)]]</f>
        <v>0</v>
      </c>
      <c r="O57" s="93">
        <f>Materiais[[#This Row],[Valor Total
Com Margem
Sem Tributos   (R$)]]/(1-('Valores Finais'!$C$10))</f>
        <v>0</v>
      </c>
      <c r="P57" s="93">
        <f>Materiais[[#This Row],[Valor Venda c/ Potencial Desconto  em Material (R$)]]/(1-('Valores Finais'!$B$6))</f>
        <v>0</v>
      </c>
      <c r="Q57" s="84">
        <f>'Valores Finais'!$B$10</f>
        <v>0.12</v>
      </c>
      <c r="R57" s="76">
        <f>Materiais[[#This Row],[Valor Venda c/ Comissões (R$)]]/(1-Materiais[[#This Row],[Tributos
(%)]])-Materiais[[#This Row],[Valor Venda c/ Comissões (R$)]]</f>
        <v>0</v>
      </c>
      <c r="S57" s="76">
        <f>Materiais[[#This Row],[Valor Venda c/ Comissões (R$)]]+Materiais[[#This Row],[Tributos
(R$)]]</f>
        <v>0</v>
      </c>
      <c r="T57" s="185"/>
      <c r="U57" s="186">
        <f ca="1">IF(Materiais[[#This Row],[Data Update]] = "",0,IF(_xlfn.DAYS(NOW(),Materiais[[#This Row],[Data Update]])&lt;=0,0,_xlfn.DAYS(NOW(),Materiais[[#This Row],[Data Update]])))</f>
        <v>0</v>
      </c>
    </row>
    <row r="58" spans="1:21" s="51" customFormat="1" x14ac:dyDescent="0.2">
      <c r="A58" s="46"/>
      <c r="B58" s="46"/>
      <c r="C58" s="46"/>
      <c r="D58" s="46"/>
      <c r="E58" s="46"/>
      <c r="F58" s="138"/>
      <c r="G58" s="129"/>
      <c r="H58" s="180"/>
      <c r="I58" s="5">
        <f>(Materiais[[#This Row],[Qtde.]]*Materiais[[#This Row],[Custo Unitário
Sem Tributos (R$)]])</f>
        <v>0</v>
      </c>
      <c r="J58" s="92">
        <v>0</v>
      </c>
      <c r="K58" s="140">
        <f>Materiais[[#This Row],[Custo Total
Sem Tributos (R$)]]*Materiais[[#This Row],[IPI
(%)]]+Materiais[[#This Row],[Custo Total
Sem Tributos (R$)]]</f>
        <v>0</v>
      </c>
      <c r="L58" s="92">
        <v>0.1</v>
      </c>
      <c r="M58" s="76">
        <f>Materiais[[#This Row],[Custo Total
Com IPI (R$)]]/(1-Materiais[[#This Row],[Margem
(%)]])</f>
        <v>0</v>
      </c>
      <c r="N58" s="16">
        <f>Materiais[[#This Row],[Valor Venda c/ Potencial Desconto  em Material (R$)]]-Materiais[[#This Row],[Custo Total
Com IPI (R$)]]</f>
        <v>0</v>
      </c>
      <c r="O58" s="93">
        <f>Materiais[[#This Row],[Valor Total
Com Margem
Sem Tributos   (R$)]]/(1-('Valores Finais'!$C$10))</f>
        <v>0</v>
      </c>
      <c r="P58" s="93">
        <f>Materiais[[#This Row],[Valor Venda c/ Potencial Desconto  em Material (R$)]]/(1-('Valores Finais'!$B$6))</f>
        <v>0</v>
      </c>
      <c r="Q58" s="84">
        <f>'Valores Finais'!$B$10</f>
        <v>0.12</v>
      </c>
      <c r="R58" s="76">
        <f>Materiais[[#This Row],[Valor Venda c/ Comissões (R$)]]/(1-Materiais[[#This Row],[Tributos
(%)]])-Materiais[[#This Row],[Valor Venda c/ Comissões (R$)]]</f>
        <v>0</v>
      </c>
      <c r="S58" s="76">
        <f>Materiais[[#This Row],[Valor Venda c/ Comissões (R$)]]+Materiais[[#This Row],[Tributos
(R$)]]</f>
        <v>0</v>
      </c>
      <c r="T58" s="185"/>
      <c r="U58" s="186">
        <f ca="1">IF(Materiais[[#This Row],[Data Update]] = "",0,IF(_xlfn.DAYS(NOW(),Materiais[[#This Row],[Data Update]])&lt;=0,0,_xlfn.DAYS(NOW(),Materiais[[#This Row],[Data Update]])))</f>
        <v>0</v>
      </c>
    </row>
    <row r="59" spans="1:21" s="51" customFormat="1" x14ac:dyDescent="0.2">
      <c r="A59" s="46"/>
      <c r="B59" s="46"/>
      <c r="C59" s="46"/>
      <c r="D59" s="46"/>
      <c r="E59" s="46"/>
      <c r="F59" s="138"/>
      <c r="G59" s="129"/>
      <c r="H59" s="180"/>
      <c r="I59" s="5">
        <f>(Materiais[[#This Row],[Qtde.]]*Materiais[[#This Row],[Custo Unitário
Sem Tributos (R$)]])</f>
        <v>0</v>
      </c>
      <c r="J59" s="92">
        <v>0</v>
      </c>
      <c r="K59" s="140">
        <f>Materiais[[#This Row],[Custo Total
Sem Tributos (R$)]]*Materiais[[#This Row],[IPI
(%)]]+Materiais[[#This Row],[Custo Total
Sem Tributos (R$)]]</f>
        <v>0</v>
      </c>
      <c r="L59" s="92">
        <v>0.1</v>
      </c>
      <c r="M59" s="76">
        <f>Materiais[[#This Row],[Custo Total
Com IPI (R$)]]/(1-Materiais[[#This Row],[Margem
(%)]])</f>
        <v>0</v>
      </c>
      <c r="N59" s="16">
        <f>Materiais[[#This Row],[Valor Venda c/ Potencial Desconto  em Material (R$)]]-Materiais[[#This Row],[Custo Total
Com IPI (R$)]]</f>
        <v>0</v>
      </c>
      <c r="O59" s="93">
        <f>Materiais[[#This Row],[Valor Total
Com Margem
Sem Tributos   (R$)]]/(1-('Valores Finais'!$C$10))</f>
        <v>0</v>
      </c>
      <c r="P59" s="93">
        <f>Materiais[[#This Row],[Valor Venda c/ Potencial Desconto  em Material (R$)]]/(1-('Valores Finais'!$B$6))</f>
        <v>0</v>
      </c>
      <c r="Q59" s="84">
        <f>'Valores Finais'!$B$10</f>
        <v>0.12</v>
      </c>
      <c r="R59" s="76">
        <f>Materiais[[#This Row],[Valor Venda c/ Comissões (R$)]]/(1-Materiais[[#This Row],[Tributos
(%)]])-Materiais[[#This Row],[Valor Venda c/ Comissões (R$)]]</f>
        <v>0</v>
      </c>
      <c r="S59" s="76">
        <f>Materiais[[#This Row],[Valor Venda c/ Comissões (R$)]]+Materiais[[#This Row],[Tributos
(R$)]]</f>
        <v>0</v>
      </c>
      <c r="T59" s="185"/>
      <c r="U59" s="186">
        <f ca="1">IF(Materiais[[#This Row],[Data Update]] = "",0,IF(_xlfn.DAYS(NOW(),Materiais[[#This Row],[Data Update]])&lt;=0,0,_xlfn.DAYS(NOW(),Materiais[[#This Row],[Data Update]])))</f>
        <v>0</v>
      </c>
    </row>
    <row r="60" spans="1:21" s="51" customFormat="1" x14ac:dyDescent="0.2">
      <c r="A60" s="46"/>
      <c r="B60" s="46"/>
      <c r="C60" s="46"/>
      <c r="D60" s="46"/>
      <c r="E60" s="46"/>
      <c r="F60" s="138"/>
      <c r="G60" s="129"/>
      <c r="H60" s="180"/>
      <c r="I60" s="5">
        <f>(Materiais[[#This Row],[Qtde.]]*Materiais[[#This Row],[Custo Unitário
Sem Tributos (R$)]])</f>
        <v>0</v>
      </c>
      <c r="J60" s="92">
        <v>0</v>
      </c>
      <c r="K60" s="140">
        <f>Materiais[[#This Row],[Custo Total
Sem Tributos (R$)]]*Materiais[[#This Row],[IPI
(%)]]+Materiais[[#This Row],[Custo Total
Sem Tributos (R$)]]</f>
        <v>0</v>
      </c>
      <c r="L60" s="92">
        <v>0.1</v>
      </c>
      <c r="M60" s="76">
        <f>Materiais[[#This Row],[Custo Total
Com IPI (R$)]]/(1-Materiais[[#This Row],[Margem
(%)]])</f>
        <v>0</v>
      </c>
      <c r="N60" s="16">
        <f>Materiais[[#This Row],[Valor Venda c/ Potencial Desconto  em Material (R$)]]-Materiais[[#This Row],[Custo Total
Com IPI (R$)]]</f>
        <v>0</v>
      </c>
      <c r="O60" s="93">
        <f>Materiais[[#This Row],[Valor Total
Com Margem
Sem Tributos   (R$)]]/(1-('Valores Finais'!$C$10))</f>
        <v>0</v>
      </c>
      <c r="P60" s="93">
        <f>Materiais[[#This Row],[Valor Venda c/ Potencial Desconto  em Material (R$)]]/(1-('Valores Finais'!$B$6))</f>
        <v>0</v>
      </c>
      <c r="Q60" s="84">
        <f>'Valores Finais'!$B$10</f>
        <v>0.12</v>
      </c>
      <c r="R60" s="76">
        <f>Materiais[[#This Row],[Valor Venda c/ Comissões (R$)]]/(1-Materiais[[#This Row],[Tributos
(%)]])-Materiais[[#This Row],[Valor Venda c/ Comissões (R$)]]</f>
        <v>0</v>
      </c>
      <c r="S60" s="76">
        <f>Materiais[[#This Row],[Valor Venda c/ Comissões (R$)]]+Materiais[[#This Row],[Tributos
(R$)]]</f>
        <v>0</v>
      </c>
      <c r="T60" s="185"/>
      <c r="U60" s="186">
        <f ca="1">IF(Materiais[[#This Row],[Data Update]] = "",0,IF(_xlfn.DAYS(NOW(),Materiais[[#This Row],[Data Update]])&lt;=0,0,_xlfn.DAYS(NOW(),Materiais[[#This Row],[Data Update]])))</f>
        <v>0</v>
      </c>
    </row>
    <row r="61" spans="1:21" s="51" customFormat="1" x14ac:dyDescent="0.2">
      <c r="A61" s="46"/>
      <c r="B61" s="46"/>
      <c r="C61" s="46"/>
      <c r="D61" s="46"/>
      <c r="E61" s="46"/>
      <c r="F61" s="138"/>
      <c r="G61" s="129"/>
      <c r="H61" s="180"/>
      <c r="I61" s="5">
        <f>(Materiais[[#This Row],[Qtde.]]*Materiais[[#This Row],[Custo Unitário
Sem Tributos (R$)]])</f>
        <v>0</v>
      </c>
      <c r="J61" s="92">
        <v>0</v>
      </c>
      <c r="K61" s="140">
        <f>Materiais[[#This Row],[Custo Total
Sem Tributos (R$)]]*Materiais[[#This Row],[IPI
(%)]]+Materiais[[#This Row],[Custo Total
Sem Tributos (R$)]]</f>
        <v>0</v>
      </c>
      <c r="L61" s="92">
        <v>0.1</v>
      </c>
      <c r="M61" s="76">
        <f>Materiais[[#This Row],[Custo Total
Com IPI (R$)]]/(1-Materiais[[#This Row],[Margem
(%)]])</f>
        <v>0</v>
      </c>
      <c r="N61" s="16">
        <f>Materiais[[#This Row],[Valor Venda c/ Potencial Desconto  em Material (R$)]]-Materiais[[#This Row],[Custo Total
Com IPI (R$)]]</f>
        <v>0</v>
      </c>
      <c r="O61" s="93">
        <f>Materiais[[#This Row],[Valor Total
Com Margem
Sem Tributos   (R$)]]/(1-('Valores Finais'!$C$10))</f>
        <v>0</v>
      </c>
      <c r="P61" s="93">
        <f>Materiais[[#This Row],[Valor Venda c/ Potencial Desconto  em Material (R$)]]/(1-('Valores Finais'!$B$6))</f>
        <v>0</v>
      </c>
      <c r="Q61" s="84">
        <f>'Valores Finais'!$B$10</f>
        <v>0.12</v>
      </c>
      <c r="R61" s="76">
        <f>Materiais[[#This Row],[Valor Venda c/ Comissões (R$)]]/(1-Materiais[[#This Row],[Tributos
(%)]])-Materiais[[#This Row],[Valor Venda c/ Comissões (R$)]]</f>
        <v>0</v>
      </c>
      <c r="S61" s="76">
        <f>Materiais[[#This Row],[Valor Venda c/ Comissões (R$)]]+Materiais[[#This Row],[Tributos
(R$)]]</f>
        <v>0</v>
      </c>
      <c r="T61" s="185"/>
      <c r="U61" s="186">
        <f ca="1">IF(Materiais[[#This Row],[Data Update]] = "",0,IF(_xlfn.DAYS(NOW(),Materiais[[#This Row],[Data Update]])&lt;=0,0,_xlfn.DAYS(NOW(),Materiais[[#This Row],[Data Update]])))</f>
        <v>0</v>
      </c>
    </row>
    <row r="62" spans="1:21" s="51" customFormat="1" x14ac:dyDescent="0.2">
      <c r="A62" s="46"/>
      <c r="B62" s="46"/>
      <c r="C62" s="46"/>
      <c r="D62" s="46"/>
      <c r="E62" s="46"/>
      <c r="F62" s="138"/>
      <c r="G62" s="129"/>
      <c r="H62" s="180"/>
      <c r="I62" s="5">
        <f>(Materiais[[#This Row],[Qtde.]]*Materiais[[#This Row],[Custo Unitário
Sem Tributos (R$)]])</f>
        <v>0</v>
      </c>
      <c r="J62" s="92">
        <v>0</v>
      </c>
      <c r="K62" s="140">
        <f>Materiais[[#This Row],[Custo Total
Sem Tributos (R$)]]*Materiais[[#This Row],[IPI
(%)]]+Materiais[[#This Row],[Custo Total
Sem Tributos (R$)]]</f>
        <v>0</v>
      </c>
      <c r="L62" s="92">
        <v>0.1</v>
      </c>
      <c r="M62" s="76">
        <f>Materiais[[#This Row],[Custo Total
Com IPI (R$)]]/(1-Materiais[[#This Row],[Margem
(%)]])</f>
        <v>0</v>
      </c>
      <c r="N62" s="16">
        <f>Materiais[[#This Row],[Valor Venda c/ Potencial Desconto  em Material (R$)]]-Materiais[[#This Row],[Custo Total
Com IPI (R$)]]</f>
        <v>0</v>
      </c>
      <c r="O62" s="93">
        <f>Materiais[[#This Row],[Valor Total
Com Margem
Sem Tributos   (R$)]]/(1-('Valores Finais'!$C$10))</f>
        <v>0</v>
      </c>
      <c r="P62" s="93">
        <f>Materiais[[#This Row],[Valor Venda c/ Potencial Desconto  em Material (R$)]]/(1-('Valores Finais'!$B$6))</f>
        <v>0</v>
      </c>
      <c r="Q62" s="84">
        <f>'Valores Finais'!$B$10</f>
        <v>0.12</v>
      </c>
      <c r="R62" s="76">
        <f>Materiais[[#This Row],[Valor Venda c/ Comissões (R$)]]/(1-Materiais[[#This Row],[Tributos
(%)]])-Materiais[[#This Row],[Valor Venda c/ Comissões (R$)]]</f>
        <v>0</v>
      </c>
      <c r="S62" s="76">
        <f>Materiais[[#This Row],[Valor Venda c/ Comissões (R$)]]+Materiais[[#This Row],[Tributos
(R$)]]</f>
        <v>0</v>
      </c>
      <c r="T62" s="185"/>
      <c r="U62" s="186">
        <f ca="1">IF(Materiais[[#This Row],[Data Update]] = "",0,IF(_xlfn.DAYS(NOW(),Materiais[[#This Row],[Data Update]])&lt;=0,0,_xlfn.DAYS(NOW(),Materiais[[#This Row],[Data Update]])))</f>
        <v>0</v>
      </c>
    </row>
    <row r="63" spans="1:21" s="51" customFormat="1" x14ac:dyDescent="0.2">
      <c r="A63" s="46"/>
      <c r="B63" s="46"/>
      <c r="C63" s="46"/>
      <c r="D63" s="46"/>
      <c r="E63" s="46"/>
      <c r="F63" s="138"/>
      <c r="G63" s="129"/>
      <c r="H63" s="180"/>
      <c r="I63" s="5">
        <f>(Materiais[[#This Row],[Qtde.]]*Materiais[[#This Row],[Custo Unitário
Sem Tributos (R$)]])</f>
        <v>0</v>
      </c>
      <c r="J63" s="92">
        <v>0</v>
      </c>
      <c r="K63" s="140">
        <f>Materiais[[#This Row],[Custo Total
Sem Tributos (R$)]]*Materiais[[#This Row],[IPI
(%)]]+Materiais[[#This Row],[Custo Total
Sem Tributos (R$)]]</f>
        <v>0</v>
      </c>
      <c r="L63" s="92">
        <v>0.1</v>
      </c>
      <c r="M63" s="76">
        <f>Materiais[[#This Row],[Custo Total
Com IPI (R$)]]/(1-Materiais[[#This Row],[Margem
(%)]])</f>
        <v>0</v>
      </c>
      <c r="N63" s="16">
        <f>Materiais[[#This Row],[Valor Venda c/ Potencial Desconto  em Material (R$)]]-Materiais[[#This Row],[Custo Total
Com IPI (R$)]]</f>
        <v>0</v>
      </c>
      <c r="O63" s="93">
        <f>Materiais[[#This Row],[Valor Total
Com Margem
Sem Tributos   (R$)]]/(1-('Valores Finais'!$C$10))</f>
        <v>0</v>
      </c>
      <c r="P63" s="93">
        <f>Materiais[[#This Row],[Valor Venda c/ Potencial Desconto  em Material (R$)]]/(1-('Valores Finais'!$B$6))</f>
        <v>0</v>
      </c>
      <c r="Q63" s="84">
        <f>'Valores Finais'!$B$10</f>
        <v>0.12</v>
      </c>
      <c r="R63" s="76">
        <f>Materiais[[#This Row],[Valor Venda c/ Comissões (R$)]]/(1-Materiais[[#This Row],[Tributos
(%)]])-Materiais[[#This Row],[Valor Venda c/ Comissões (R$)]]</f>
        <v>0</v>
      </c>
      <c r="S63" s="76">
        <f>Materiais[[#This Row],[Valor Venda c/ Comissões (R$)]]+Materiais[[#This Row],[Tributos
(R$)]]</f>
        <v>0</v>
      </c>
      <c r="T63" s="185"/>
      <c r="U63" s="186">
        <f ca="1">IF(Materiais[[#This Row],[Data Update]] = "",0,IF(_xlfn.DAYS(NOW(),Materiais[[#This Row],[Data Update]])&lt;=0,0,_xlfn.DAYS(NOW(),Materiais[[#This Row],[Data Update]])))</f>
        <v>0</v>
      </c>
    </row>
    <row r="64" spans="1:21" s="51" customFormat="1" x14ac:dyDescent="0.2">
      <c r="A64" s="46"/>
      <c r="B64" s="46"/>
      <c r="C64" s="46"/>
      <c r="D64" s="46"/>
      <c r="E64" s="46"/>
      <c r="F64" s="138"/>
      <c r="G64" s="129"/>
      <c r="H64" s="180"/>
      <c r="I64" s="5">
        <f>(Materiais[[#This Row],[Qtde.]]*Materiais[[#This Row],[Custo Unitário
Sem Tributos (R$)]])</f>
        <v>0</v>
      </c>
      <c r="J64" s="92">
        <v>0</v>
      </c>
      <c r="K64" s="140">
        <f>Materiais[[#This Row],[Custo Total
Sem Tributos (R$)]]*Materiais[[#This Row],[IPI
(%)]]+Materiais[[#This Row],[Custo Total
Sem Tributos (R$)]]</f>
        <v>0</v>
      </c>
      <c r="L64" s="92">
        <v>0.1</v>
      </c>
      <c r="M64" s="76">
        <f>Materiais[[#This Row],[Custo Total
Com IPI (R$)]]/(1-Materiais[[#This Row],[Margem
(%)]])</f>
        <v>0</v>
      </c>
      <c r="N64" s="16">
        <f>Materiais[[#This Row],[Valor Venda c/ Potencial Desconto  em Material (R$)]]-Materiais[[#This Row],[Custo Total
Com IPI (R$)]]</f>
        <v>0</v>
      </c>
      <c r="O64" s="93">
        <f>Materiais[[#This Row],[Valor Total
Com Margem
Sem Tributos   (R$)]]/(1-('Valores Finais'!$C$10))</f>
        <v>0</v>
      </c>
      <c r="P64" s="93">
        <f>Materiais[[#This Row],[Valor Venda c/ Potencial Desconto  em Material (R$)]]/(1-('Valores Finais'!$B$6))</f>
        <v>0</v>
      </c>
      <c r="Q64" s="84">
        <f>'Valores Finais'!$B$10</f>
        <v>0.12</v>
      </c>
      <c r="R64" s="76">
        <f>Materiais[[#This Row],[Valor Venda c/ Comissões (R$)]]/(1-Materiais[[#This Row],[Tributos
(%)]])-Materiais[[#This Row],[Valor Venda c/ Comissões (R$)]]</f>
        <v>0</v>
      </c>
      <c r="S64" s="76">
        <f>Materiais[[#This Row],[Valor Venda c/ Comissões (R$)]]+Materiais[[#This Row],[Tributos
(R$)]]</f>
        <v>0</v>
      </c>
      <c r="T64" s="185"/>
      <c r="U64" s="186">
        <f ca="1">IF(Materiais[[#This Row],[Data Update]] = "",0,IF(_xlfn.DAYS(NOW(),Materiais[[#This Row],[Data Update]])&lt;=0,0,_xlfn.DAYS(NOW(),Materiais[[#This Row],[Data Update]])))</f>
        <v>0</v>
      </c>
    </row>
    <row r="65" spans="1:21" s="51" customFormat="1" x14ac:dyDescent="0.2">
      <c r="A65" s="46"/>
      <c r="B65" s="46"/>
      <c r="C65" s="46"/>
      <c r="D65" s="46"/>
      <c r="E65" s="46"/>
      <c r="F65" s="138"/>
      <c r="G65" s="129"/>
      <c r="H65" s="180"/>
      <c r="I65" s="5">
        <f>(Materiais[[#This Row],[Qtde.]]*Materiais[[#This Row],[Custo Unitário
Sem Tributos (R$)]])</f>
        <v>0</v>
      </c>
      <c r="J65" s="92">
        <v>0</v>
      </c>
      <c r="K65" s="140">
        <f>Materiais[[#This Row],[Custo Total
Sem Tributos (R$)]]*Materiais[[#This Row],[IPI
(%)]]+Materiais[[#This Row],[Custo Total
Sem Tributos (R$)]]</f>
        <v>0</v>
      </c>
      <c r="L65" s="92">
        <v>0.1</v>
      </c>
      <c r="M65" s="76">
        <f>Materiais[[#This Row],[Custo Total
Com IPI (R$)]]/(1-Materiais[[#This Row],[Margem
(%)]])</f>
        <v>0</v>
      </c>
      <c r="N65" s="16">
        <f>Materiais[[#This Row],[Valor Venda c/ Potencial Desconto  em Material (R$)]]-Materiais[[#This Row],[Custo Total
Com IPI (R$)]]</f>
        <v>0</v>
      </c>
      <c r="O65" s="93">
        <f>Materiais[[#This Row],[Valor Total
Com Margem
Sem Tributos   (R$)]]/(1-('Valores Finais'!$C$10))</f>
        <v>0</v>
      </c>
      <c r="P65" s="93">
        <f>Materiais[[#This Row],[Valor Venda c/ Potencial Desconto  em Material (R$)]]/(1-('Valores Finais'!$B$6))</f>
        <v>0</v>
      </c>
      <c r="Q65" s="84">
        <f>'Valores Finais'!$B$10</f>
        <v>0.12</v>
      </c>
      <c r="R65" s="76">
        <f>Materiais[[#This Row],[Valor Venda c/ Comissões (R$)]]/(1-Materiais[[#This Row],[Tributos
(%)]])-Materiais[[#This Row],[Valor Venda c/ Comissões (R$)]]</f>
        <v>0</v>
      </c>
      <c r="S65" s="76">
        <f>Materiais[[#This Row],[Valor Venda c/ Comissões (R$)]]+Materiais[[#This Row],[Tributos
(R$)]]</f>
        <v>0</v>
      </c>
      <c r="T65" s="185"/>
      <c r="U65" s="186">
        <f ca="1">IF(Materiais[[#This Row],[Data Update]] = "",0,IF(_xlfn.DAYS(NOW(),Materiais[[#This Row],[Data Update]])&lt;=0,0,_xlfn.DAYS(NOW(),Materiais[[#This Row],[Data Update]])))</f>
        <v>0</v>
      </c>
    </row>
    <row r="66" spans="1:21" x14ac:dyDescent="0.2">
      <c r="A66" s="46"/>
      <c r="B66" s="46"/>
      <c r="C66" s="46"/>
      <c r="D66" s="46"/>
      <c r="E66" s="46"/>
      <c r="F66" s="138"/>
      <c r="G66" s="129"/>
      <c r="H66" s="180"/>
      <c r="I66" s="5">
        <f>(Materiais[[#This Row],[Qtde.]]*Materiais[[#This Row],[Custo Unitário
Sem Tributos (R$)]])</f>
        <v>0</v>
      </c>
      <c r="J66" s="92">
        <v>0</v>
      </c>
      <c r="K66" s="140">
        <f>Materiais[[#This Row],[Custo Total
Sem Tributos (R$)]]*Materiais[[#This Row],[IPI
(%)]]+Materiais[[#This Row],[Custo Total
Sem Tributos (R$)]]</f>
        <v>0</v>
      </c>
      <c r="L66" s="92">
        <v>0.1</v>
      </c>
      <c r="M66" s="76">
        <f>Materiais[[#This Row],[Custo Total
Com IPI (R$)]]/(1-Materiais[[#This Row],[Margem
(%)]])</f>
        <v>0</v>
      </c>
      <c r="N66" s="16">
        <f>Materiais[[#This Row],[Valor Venda c/ Potencial Desconto  em Material (R$)]]-Materiais[[#This Row],[Custo Total
Com IPI (R$)]]</f>
        <v>0</v>
      </c>
      <c r="O66" s="93">
        <f>Materiais[[#This Row],[Valor Total
Com Margem
Sem Tributos   (R$)]]/(1-('Valores Finais'!$C$10))</f>
        <v>0</v>
      </c>
      <c r="P66" s="93">
        <f>Materiais[[#This Row],[Valor Venda c/ Potencial Desconto  em Material (R$)]]/(1-('Valores Finais'!$B$6))</f>
        <v>0</v>
      </c>
      <c r="Q66" s="84">
        <f>'Valores Finais'!$B$10</f>
        <v>0.12</v>
      </c>
      <c r="R66" s="76">
        <f>Materiais[[#This Row],[Valor Venda c/ Comissões (R$)]]/(1-Materiais[[#This Row],[Tributos
(%)]])-Materiais[[#This Row],[Valor Venda c/ Comissões (R$)]]</f>
        <v>0</v>
      </c>
      <c r="S66" s="76">
        <f>Materiais[[#This Row],[Valor Venda c/ Comissões (R$)]]+Materiais[[#This Row],[Tributos
(R$)]]</f>
        <v>0</v>
      </c>
      <c r="T66" s="185"/>
      <c r="U66" s="186">
        <f ca="1">IF(Materiais[[#This Row],[Data Update]] = "",0,IF(_xlfn.DAYS(NOW(),Materiais[[#This Row],[Data Update]])&lt;=0,0,_xlfn.DAYS(NOW(),Materiais[[#This Row],[Data Update]])))</f>
        <v>0</v>
      </c>
    </row>
    <row r="67" spans="1:21" x14ac:dyDescent="0.2">
      <c r="A67" s="46"/>
      <c r="B67" s="46"/>
      <c r="C67" s="46"/>
      <c r="D67" s="46"/>
      <c r="E67" s="46"/>
      <c r="F67" s="138"/>
      <c r="G67" s="129"/>
      <c r="H67" s="180"/>
      <c r="I67" s="5">
        <f>(Materiais[[#This Row],[Qtde.]]*Materiais[[#This Row],[Custo Unitário
Sem Tributos (R$)]])</f>
        <v>0</v>
      </c>
      <c r="J67" s="92">
        <v>0</v>
      </c>
      <c r="K67" s="140">
        <f>Materiais[[#This Row],[Custo Total
Sem Tributos (R$)]]*Materiais[[#This Row],[IPI
(%)]]+Materiais[[#This Row],[Custo Total
Sem Tributos (R$)]]</f>
        <v>0</v>
      </c>
      <c r="L67" s="92">
        <v>0.1</v>
      </c>
      <c r="M67" s="76">
        <f>Materiais[[#This Row],[Custo Total
Com IPI (R$)]]/(1-Materiais[[#This Row],[Margem
(%)]])</f>
        <v>0</v>
      </c>
      <c r="N67" s="16">
        <f>Materiais[[#This Row],[Valor Venda c/ Potencial Desconto  em Material (R$)]]-Materiais[[#This Row],[Custo Total
Com IPI (R$)]]</f>
        <v>0</v>
      </c>
      <c r="O67" s="93">
        <f>Materiais[[#This Row],[Valor Total
Com Margem
Sem Tributos   (R$)]]/(1-('Valores Finais'!$C$10))</f>
        <v>0</v>
      </c>
      <c r="P67" s="93">
        <f>Materiais[[#This Row],[Valor Venda c/ Potencial Desconto  em Material (R$)]]/(1-('Valores Finais'!$B$6))</f>
        <v>0</v>
      </c>
      <c r="Q67" s="84">
        <f>'Valores Finais'!$B$10</f>
        <v>0.12</v>
      </c>
      <c r="R67" s="76">
        <f>Materiais[[#This Row],[Valor Venda c/ Comissões (R$)]]/(1-Materiais[[#This Row],[Tributos
(%)]])-Materiais[[#This Row],[Valor Venda c/ Comissões (R$)]]</f>
        <v>0</v>
      </c>
      <c r="S67" s="76">
        <f>Materiais[[#This Row],[Valor Venda c/ Comissões (R$)]]+Materiais[[#This Row],[Tributos
(R$)]]</f>
        <v>0</v>
      </c>
      <c r="T67" s="185"/>
      <c r="U67" s="186">
        <f ca="1">IF(Materiais[[#This Row],[Data Update]] = "",0,IF(_xlfn.DAYS(NOW(),Materiais[[#This Row],[Data Update]])&lt;=0,0,_xlfn.DAYS(NOW(),Materiais[[#This Row],[Data Update]])))</f>
        <v>0</v>
      </c>
    </row>
    <row r="68" spans="1:21" x14ac:dyDescent="0.2">
      <c r="A68" s="46"/>
      <c r="B68" s="46"/>
      <c r="C68" s="46"/>
      <c r="D68" s="46"/>
      <c r="E68" s="46"/>
      <c r="F68" s="138"/>
      <c r="G68" s="129"/>
      <c r="H68" s="180"/>
      <c r="I68" s="5">
        <f>(Materiais[[#This Row],[Qtde.]]*Materiais[[#This Row],[Custo Unitário
Sem Tributos (R$)]])</f>
        <v>0</v>
      </c>
      <c r="J68" s="92">
        <v>0</v>
      </c>
      <c r="K68" s="140">
        <f>Materiais[[#This Row],[Custo Total
Sem Tributos (R$)]]*Materiais[[#This Row],[IPI
(%)]]+Materiais[[#This Row],[Custo Total
Sem Tributos (R$)]]</f>
        <v>0</v>
      </c>
      <c r="L68" s="92">
        <v>0.1</v>
      </c>
      <c r="M68" s="76">
        <f>Materiais[[#This Row],[Custo Total
Com IPI (R$)]]/(1-Materiais[[#This Row],[Margem
(%)]])</f>
        <v>0</v>
      </c>
      <c r="N68" s="16">
        <f>Materiais[[#This Row],[Valor Venda c/ Potencial Desconto  em Material (R$)]]-Materiais[[#This Row],[Custo Total
Com IPI (R$)]]</f>
        <v>0</v>
      </c>
      <c r="O68" s="93">
        <f>Materiais[[#This Row],[Valor Total
Com Margem
Sem Tributos   (R$)]]/(1-('Valores Finais'!$C$10))</f>
        <v>0</v>
      </c>
      <c r="P68" s="93">
        <f>Materiais[[#This Row],[Valor Venda c/ Potencial Desconto  em Material (R$)]]/(1-('Valores Finais'!$B$6))</f>
        <v>0</v>
      </c>
      <c r="Q68" s="84">
        <f>'Valores Finais'!$B$10</f>
        <v>0.12</v>
      </c>
      <c r="R68" s="76">
        <f>Materiais[[#This Row],[Valor Venda c/ Comissões (R$)]]/(1-Materiais[[#This Row],[Tributos
(%)]])-Materiais[[#This Row],[Valor Venda c/ Comissões (R$)]]</f>
        <v>0</v>
      </c>
      <c r="S68" s="76">
        <f>Materiais[[#This Row],[Valor Venda c/ Comissões (R$)]]+Materiais[[#This Row],[Tributos
(R$)]]</f>
        <v>0</v>
      </c>
      <c r="T68" s="185"/>
      <c r="U68" s="186">
        <f ca="1">IF(Materiais[[#This Row],[Data Update]] = "",0,IF(_xlfn.DAYS(NOW(),Materiais[[#This Row],[Data Update]])&lt;=0,0,_xlfn.DAYS(NOW(),Materiais[[#This Row],[Data Update]])))</f>
        <v>0</v>
      </c>
    </row>
    <row r="69" spans="1:21" x14ac:dyDescent="0.2">
      <c r="A69" s="46"/>
      <c r="B69" s="46"/>
      <c r="C69" s="46"/>
      <c r="D69" s="46"/>
      <c r="E69" s="46"/>
      <c r="F69" s="138"/>
      <c r="G69" s="129"/>
      <c r="H69" s="180"/>
      <c r="I69" s="5">
        <f>(Materiais[[#This Row],[Qtde.]]*Materiais[[#This Row],[Custo Unitário
Sem Tributos (R$)]])</f>
        <v>0</v>
      </c>
      <c r="J69" s="92">
        <v>0</v>
      </c>
      <c r="K69" s="140">
        <f>Materiais[[#This Row],[Custo Total
Sem Tributos (R$)]]*Materiais[[#This Row],[IPI
(%)]]+Materiais[[#This Row],[Custo Total
Sem Tributos (R$)]]</f>
        <v>0</v>
      </c>
      <c r="L69" s="92">
        <v>0.1</v>
      </c>
      <c r="M69" s="76">
        <f>Materiais[[#This Row],[Custo Total
Com IPI (R$)]]/(1-Materiais[[#This Row],[Margem
(%)]])</f>
        <v>0</v>
      </c>
      <c r="N69" s="16">
        <f>Materiais[[#This Row],[Valor Venda c/ Potencial Desconto  em Material (R$)]]-Materiais[[#This Row],[Custo Total
Com IPI (R$)]]</f>
        <v>0</v>
      </c>
      <c r="O69" s="93">
        <f>Materiais[[#This Row],[Valor Total
Com Margem
Sem Tributos   (R$)]]/(1-('Valores Finais'!$C$10))</f>
        <v>0</v>
      </c>
      <c r="P69" s="93">
        <f>Materiais[[#This Row],[Valor Venda c/ Potencial Desconto  em Material (R$)]]/(1-('Valores Finais'!$B$6))</f>
        <v>0</v>
      </c>
      <c r="Q69" s="84">
        <f>'Valores Finais'!$B$10</f>
        <v>0.12</v>
      </c>
      <c r="R69" s="76">
        <f>Materiais[[#This Row],[Valor Venda c/ Comissões (R$)]]/(1-Materiais[[#This Row],[Tributos
(%)]])-Materiais[[#This Row],[Valor Venda c/ Comissões (R$)]]</f>
        <v>0</v>
      </c>
      <c r="S69" s="76">
        <f>Materiais[[#This Row],[Valor Venda c/ Comissões (R$)]]+Materiais[[#This Row],[Tributos
(R$)]]</f>
        <v>0</v>
      </c>
      <c r="T69" s="185"/>
      <c r="U69" s="186">
        <f ca="1">IF(Materiais[[#This Row],[Data Update]] = "",0,IF(_xlfn.DAYS(NOW(),Materiais[[#This Row],[Data Update]])&lt;=0,0,_xlfn.DAYS(NOW(),Materiais[[#This Row],[Data Update]])))</f>
        <v>0</v>
      </c>
    </row>
    <row r="70" spans="1:21" x14ac:dyDescent="0.2">
      <c r="A70" s="46"/>
      <c r="B70" s="46"/>
      <c r="C70" s="46"/>
      <c r="D70" s="46"/>
      <c r="E70" s="46"/>
      <c r="F70" s="138"/>
      <c r="G70" s="129"/>
      <c r="H70" s="180"/>
      <c r="I70" s="5">
        <f>(Materiais[[#This Row],[Qtde.]]*Materiais[[#This Row],[Custo Unitário
Sem Tributos (R$)]])</f>
        <v>0</v>
      </c>
      <c r="J70" s="92">
        <v>0</v>
      </c>
      <c r="K70" s="140">
        <f>Materiais[[#This Row],[Custo Total
Sem Tributos (R$)]]*Materiais[[#This Row],[IPI
(%)]]+Materiais[[#This Row],[Custo Total
Sem Tributos (R$)]]</f>
        <v>0</v>
      </c>
      <c r="L70" s="92">
        <v>0.1</v>
      </c>
      <c r="M70" s="76">
        <f>Materiais[[#This Row],[Custo Total
Com IPI (R$)]]/(1-Materiais[[#This Row],[Margem
(%)]])</f>
        <v>0</v>
      </c>
      <c r="N70" s="16">
        <f>Materiais[[#This Row],[Valor Venda c/ Potencial Desconto  em Material (R$)]]-Materiais[[#This Row],[Custo Total
Com IPI (R$)]]</f>
        <v>0</v>
      </c>
      <c r="O70" s="93">
        <f>Materiais[[#This Row],[Valor Total
Com Margem
Sem Tributos   (R$)]]/(1-('Valores Finais'!$C$10))</f>
        <v>0</v>
      </c>
      <c r="P70" s="93">
        <f>Materiais[[#This Row],[Valor Venda c/ Potencial Desconto  em Material (R$)]]/(1-('Valores Finais'!$B$6))</f>
        <v>0</v>
      </c>
      <c r="Q70" s="84">
        <f>'Valores Finais'!$B$10</f>
        <v>0.12</v>
      </c>
      <c r="R70" s="76">
        <f>Materiais[[#This Row],[Valor Venda c/ Comissões (R$)]]/(1-Materiais[[#This Row],[Tributos
(%)]])-Materiais[[#This Row],[Valor Venda c/ Comissões (R$)]]</f>
        <v>0</v>
      </c>
      <c r="S70" s="76">
        <f>Materiais[[#This Row],[Valor Venda c/ Comissões (R$)]]+Materiais[[#This Row],[Tributos
(R$)]]</f>
        <v>0</v>
      </c>
      <c r="T70" s="185"/>
      <c r="U70" s="186">
        <f ca="1">IF(Materiais[[#This Row],[Data Update]] = "",0,IF(_xlfn.DAYS(NOW(),Materiais[[#This Row],[Data Update]])&lt;=0,0,_xlfn.DAYS(NOW(),Materiais[[#This Row],[Data Update]])))</f>
        <v>0</v>
      </c>
    </row>
    <row r="71" spans="1:21" x14ac:dyDescent="0.2">
      <c r="A71" s="46"/>
      <c r="B71" s="46"/>
      <c r="C71" s="46"/>
      <c r="D71" s="46"/>
      <c r="E71" s="46"/>
      <c r="F71" s="138"/>
      <c r="G71" s="129"/>
      <c r="H71" s="180"/>
      <c r="I71" s="5">
        <f>(Materiais[[#This Row],[Qtde.]]*Materiais[[#This Row],[Custo Unitário
Sem Tributos (R$)]])</f>
        <v>0</v>
      </c>
      <c r="J71" s="92">
        <v>0</v>
      </c>
      <c r="K71" s="140">
        <f>Materiais[[#This Row],[Custo Total
Sem Tributos (R$)]]*Materiais[[#This Row],[IPI
(%)]]+Materiais[[#This Row],[Custo Total
Sem Tributos (R$)]]</f>
        <v>0</v>
      </c>
      <c r="L71" s="92">
        <v>0.1</v>
      </c>
      <c r="M71" s="76">
        <f>Materiais[[#This Row],[Custo Total
Com IPI (R$)]]/(1-Materiais[[#This Row],[Margem
(%)]])</f>
        <v>0</v>
      </c>
      <c r="N71" s="16">
        <f>Materiais[[#This Row],[Valor Venda c/ Potencial Desconto  em Material (R$)]]-Materiais[[#This Row],[Custo Total
Com IPI (R$)]]</f>
        <v>0</v>
      </c>
      <c r="O71" s="93">
        <f>Materiais[[#This Row],[Valor Total
Com Margem
Sem Tributos   (R$)]]/(1-('Valores Finais'!$C$10))</f>
        <v>0</v>
      </c>
      <c r="P71" s="93">
        <f>Materiais[[#This Row],[Valor Venda c/ Potencial Desconto  em Material (R$)]]/(1-('Valores Finais'!$B$6))</f>
        <v>0</v>
      </c>
      <c r="Q71" s="84">
        <f>'Valores Finais'!$B$10</f>
        <v>0.12</v>
      </c>
      <c r="R71" s="76">
        <f>Materiais[[#This Row],[Valor Venda c/ Comissões (R$)]]/(1-Materiais[[#This Row],[Tributos
(%)]])-Materiais[[#This Row],[Valor Venda c/ Comissões (R$)]]</f>
        <v>0</v>
      </c>
      <c r="S71" s="76">
        <f>Materiais[[#This Row],[Valor Venda c/ Comissões (R$)]]+Materiais[[#This Row],[Tributos
(R$)]]</f>
        <v>0</v>
      </c>
      <c r="T71" s="185"/>
      <c r="U71" s="186">
        <f ca="1">IF(Materiais[[#This Row],[Data Update]] = "",0,IF(_xlfn.DAYS(NOW(),Materiais[[#This Row],[Data Update]])&lt;=0,0,_xlfn.DAYS(NOW(),Materiais[[#This Row],[Data Update]])))</f>
        <v>0</v>
      </c>
    </row>
    <row r="72" spans="1:21" x14ac:dyDescent="0.2">
      <c r="A72" s="46"/>
      <c r="B72" s="46"/>
      <c r="C72" s="46"/>
      <c r="D72" s="46"/>
      <c r="E72" s="46"/>
      <c r="F72" s="138"/>
      <c r="G72" s="129"/>
      <c r="H72" s="180"/>
      <c r="I72" s="5">
        <f>(Materiais[[#This Row],[Qtde.]]*Materiais[[#This Row],[Custo Unitário
Sem Tributos (R$)]])</f>
        <v>0</v>
      </c>
      <c r="J72" s="92">
        <v>0</v>
      </c>
      <c r="K72" s="140">
        <f>Materiais[[#This Row],[Custo Total
Sem Tributos (R$)]]*Materiais[[#This Row],[IPI
(%)]]+Materiais[[#This Row],[Custo Total
Sem Tributos (R$)]]</f>
        <v>0</v>
      </c>
      <c r="L72" s="92">
        <v>0.1</v>
      </c>
      <c r="M72" s="76">
        <f>Materiais[[#This Row],[Custo Total
Com IPI (R$)]]/(1-Materiais[[#This Row],[Margem
(%)]])</f>
        <v>0</v>
      </c>
      <c r="N72" s="16">
        <f>Materiais[[#This Row],[Valor Venda c/ Potencial Desconto  em Material (R$)]]-Materiais[[#This Row],[Custo Total
Com IPI (R$)]]</f>
        <v>0</v>
      </c>
      <c r="O72" s="93">
        <f>Materiais[[#This Row],[Valor Total
Com Margem
Sem Tributos   (R$)]]/(1-('Valores Finais'!$C$10))</f>
        <v>0</v>
      </c>
      <c r="P72" s="93">
        <f>Materiais[[#This Row],[Valor Venda c/ Potencial Desconto  em Material (R$)]]/(1-('Valores Finais'!$B$6))</f>
        <v>0</v>
      </c>
      <c r="Q72" s="84">
        <f>'Valores Finais'!$B$10</f>
        <v>0.12</v>
      </c>
      <c r="R72" s="76">
        <f>Materiais[[#This Row],[Valor Venda c/ Comissões (R$)]]/(1-Materiais[[#This Row],[Tributos
(%)]])-Materiais[[#This Row],[Valor Venda c/ Comissões (R$)]]</f>
        <v>0</v>
      </c>
      <c r="S72" s="76">
        <f>Materiais[[#This Row],[Valor Venda c/ Comissões (R$)]]+Materiais[[#This Row],[Tributos
(R$)]]</f>
        <v>0</v>
      </c>
      <c r="T72" s="185"/>
      <c r="U72" s="186">
        <f ca="1">IF(Materiais[[#This Row],[Data Update]] = "",0,IF(_xlfn.DAYS(NOW(),Materiais[[#This Row],[Data Update]])&lt;=0,0,_xlfn.DAYS(NOW(),Materiais[[#This Row],[Data Update]])))</f>
        <v>0</v>
      </c>
    </row>
    <row r="73" spans="1:21" x14ac:dyDescent="0.2">
      <c r="A73" s="46"/>
      <c r="B73" s="46"/>
      <c r="C73" s="46"/>
      <c r="D73" s="46"/>
      <c r="E73" s="46"/>
      <c r="F73" s="138"/>
      <c r="G73" s="129"/>
      <c r="H73" s="180"/>
      <c r="I73" s="5">
        <f>(Materiais[[#This Row],[Qtde.]]*Materiais[[#This Row],[Custo Unitário
Sem Tributos (R$)]])</f>
        <v>0</v>
      </c>
      <c r="J73" s="92">
        <v>0</v>
      </c>
      <c r="K73" s="140">
        <f>Materiais[[#This Row],[Custo Total
Sem Tributos (R$)]]*Materiais[[#This Row],[IPI
(%)]]+Materiais[[#This Row],[Custo Total
Sem Tributos (R$)]]</f>
        <v>0</v>
      </c>
      <c r="L73" s="92">
        <v>0.1</v>
      </c>
      <c r="M73" s="76">
        <f>Materiais[[#This Row],[Custo Total
Com IPI (R$)]]/(1-Materiais[[#This Row],[Margem
(%)]])</f>
        <v>0</v>
      </c>
      <c r="N73" s="16">
        <f>Materiais[[#This Row],[Valor Venda c/ Potencial Desconto  em Material (R$)]]-Materiais[[#This Row],[Custo Total
Com IPI (R$)]]</f>
        <v>0</v>
      </c>
      <c r="O73" s="93">
        <f>Materiais[[#This Row],[Valor Total
Com Margem
Sem Tributos   (R$)]]/(1-('Valores Finais'!$C$10))</f>
        <v>0</v>
      </c>
      <c r="P73" s="93">
        <f>Materiais[[#This Row],[Valor Venda c/ Potencial Desconto  em Material (R$)]]/(1-('Valores Finais'!$B$6))</f>
        <v>0</v>
      </c>
      <c r="Q73" s="84">
        <f>'Valores Finais'!$B$10</f>
        <v>0.12</v>
      </c>
      <c r="R73" s="76">
        <f>Materiais[[#This Row],[Valor Venda c/ Comissões (R$)]]/(1-Materiais[[#This Row],[Tributos
(%)]])-Materiais[[#This Row],[Valor Venda c/ Comissões (R$)]]</f>
        <v>0</v>
      </c>
      <c r="S73" s="76">
        <f>Materiais[[#This Row],[Valor Venda c/ Comissões (R$)]]+Materiais[[#This Row],[Tributos
(R$)]]</f>
        <v>0</v>
      </c>
      <c r="T73" s="185"/>
      <c r="U73" s="186">
        <f ca="1">IF(Materiais[[#This Row],[Data Update]] = "",0,IF(_xlfn.DAYS(NOW(),Materiais[[#This Row],[Data Update]])&lt;=0,0,_xlfn.DAYS(NOW(),Materiais[[#This Row],[Data Update]])))</f>
        <v>0</v>
      </c>
    </row>
    <row r="74" spans="1:21" x14ac:dyDescent="0.2">
      <c r="A74" s="46"/>
      <c r="B74" s="46"/>
      <c r="C74" s="46"/>
      <c r="D74" s="46"/>
      <c r="E74" s="46"/>
      <c r="F74" s="138"/>
      <c r="G74" s="129"/>
      <c r="H74" s="180"/>
      <c r="I74" s="5">
        <f>(Materiais[[#This Row],[Qtde.]]*Materiais[[#This Row],[Custo Unitário
Sem Tributos (R$)]])</f>
        <v>0</v>
      </c>
      <c r="J74" s="92">
        <v>0</v>
      </c>
      <c r="K74" s="140">
        <f>Materiais[[#This Row],[Custo Total
Sem Tributos (R$)]]*Materiais[[#This Row],[IPI
(%)]]+Materiais[[#This Row],[Custo Total
Sem Tributos (R$)]]</f>
        <v>0</v>
      </c>
      <c r="L74" s="92">
        <v>0.1</v>
      </c>
      <c r="M74" s="76">
        <f>Materiais[[#This Row],[Custo Total
Com IPI (R$)]]/(1-Materiais[[#This Row],[Margem
(%)]])</f>
        <v>0</v>
      </c>
      <c r="N74" s="16">
        <f>Materiais[[#This Row],[Valor Venda c/ Potencial Desconto  em Material (R$)]]-Materiais[[#This Row],[Custo Total
Com IPI (R$)]]</f>
        <v>0</v>
      </c>
      <c r="O74" s="93">
        <f>Materiais[[#This Row],[Valor Total
Com Margem
Sem Tributos   (R$)]]/(1-('Valores Finais'!$C$10))</f>
        <v>0</v>
      </c>
      <c r="P74" s="93">
        <f>Materiais[[#This Row],[Valor Venda c/ Potencial Desconto  em Material (R$)]]/(1-('Valores Finais'!$B$6))</f>
        <v>0</v>
      </c>
      <c r="Q74" s="84">
        <f>'Valores Finais'!$B$10</f>
        <v>0.12</v>
      </c>
      <c r="R74" s="76">
        <f>Materiais[[#This Row],[Valor Venda c/ Comissões (R$)]]/(1-Materiais[[#This Row],[Tributos
(%)]])-Materiais[[#This Row],[Valor Venda c/ Comissões (R$)]]</f>
        <v>0</v>
      </c>
      <c r="S74" s="76">
        <f>Materiais[[#This Row],[Valor Venda c/ Comissões (R$)]]+Materiais[[#This Row],[Tributos
(R$)]]</f>
        <v>0</v>
      </c>
      <c r="T74" s="185"/>
      <c r="U74" s="186">
        <f ca="1">IF(Materiais[[#This Row],[Data Update]] = "",0,IF(_xlfn.DAYS(NOW(),Materiais[[#This Row],[Data Update]])&lt;=0,0,_xlfn.DAYS(NOW(),Materiais[[#This Row],[Data Update]])))</f>
        <v>0</v>
      </c>
    </row>
    <row r="75" spans="1:21" x14ac:dyDescent="0.2">
      <c r="A75" s="46"/>
      <c r="B75" s="46"/>
      <c r="C75" s="46"/>
      <c r="D75" s="46"/>
      <c r="E75" s="46"/>
      <c r="F75" s="138"/>
      <c r="G75" s="129"/>
      <c r="H75" s="180"/>
      <c r="I75" s="5">
        <f>(Materiais[[#This Row],[Qtde.]]*Materiais[[#This Row],[Custo Unitário
Sem Tributos (R$)]])</f>
        <v>0</v>
      </c>
      <c r="J75" s="92">
        <v>0</v>
      </c>
      <c r="K75" s="140">
        <f>Materiais[[#This Row],[Custo Total
Sem Tributos (R$)]]*Materiais[[#This Row],[IPI
(%)]]+Materiais[[#This Row],[Custo Total
Sem Tributos (R$)]]</f>
        <v>0</v>
      </c>
      <c r="L75" s="92">
        <v>0.1</v>
      </c>
      <c r="M75" s="76">
        <f>Materiais[[#This Row],[Custo Total
Com IPI (R$)]]/(1-Materiais[[#This Row],[Margem
(%)]])</f>
        <v>0</v>
      </c>
      <c r="N75" s="16">
        <f>Materiais[[#This Row],[Valor Venda c/ Potencial Desconto  em Material (R$)]]-Materiais[[#This Row],[Custo Total
Com IPI (R$)]]</f>
        <v>0</v>
      </c>
      <c r="O75" s="93">
        <f>Materiais[[#This Row],[Valor Total
Com Margem
Sem Tributos   (R$)]]/(1-('Valores Finais'!$C$10))</f>
        <v>0</v>
      </c>
      <c r="P75" s="93">
        <f>Materiais[[#This Row],[Valor Venda c/ Potencial Desconto  em Material (R$)]]/(1-('Valores Finais'!$B$6))</f>
        <v>0</v>
      </c>
      <c r="Q75" s="84">
        <f>'Valores Finais'!$B$10</f>
        <v>0.12</v>
      </c>
      <c r="R75" s="76">
        <f>Materiais[[#This Row],[Valor Venda c/ Comissões (R$)]]/(1-Materiais[[#This Row],[Tributos
(%)]])-Materiais[[#This Row],[Valor Venda c/ Comissões (R$)]]</f>
        <v>0</v>
      </c>
      <c r="S75" s="76">
        <f>Materiais[[#This Row],[Valor Venda c/ Comissões (R$)]]+Materiais[[#This Row],[Tributos
(R$)]]</f>
        <v>0</v>
      </c>
      <c r="T75" s="185"/>
      <c r="U75" s="186">
        <f ca="1">IF(Materiais[[#This Row],[Data Update]] = "",0,IF(_xlfn.DAYS(NOW(),Materiais[[#This Row],[Data Update]])&lt;=0,0,_xlfn.DAYS(NOW(),Materiais[[#This Row],[Data Update]])))</f>
        <v>0</v>
      </c>
    </row>
    <row r="76" spans="1:21" x14ac:dyDescent="0.2">
      <c r="A76" s="46"/>
      <c r="B76" s="46"/>
      <c r="C76" s="46"/>
      <c r="D76" s="46"/>
      <c r="E76" s="46"/>
      <c r="F76" s="138"/>
      <c r="G76" s="129"/>
      <c r="H76" s="180"/>
      <c r="I76" s="5">
        <f>(Materiais[[#This Row],[Qtde.]]*Materiais[[#This Row],[Custo Unitário
Sem Tributos (R$)]])</f>
        <v>0</v>
      </c>
      <c r="J76" s="92">
        <v>0</v>
      </c>
      <c r="K76" s="140">
        <f>Materiais[[#This Row],[Custo Total
Sem Tributos (R$)]]*Materiais[[#This Row],[IPI
(%)]]+Materiais[[#This Row],[Custo Total
Sem Tributos (R$)]]</f>
        <v>0</v>
      </c>
      <c r="L76" s="92">
        <v>0.1</v>
      </c>
      <c r="M76" s="76">
        <f>Materiais[[#This Row],[Custo Total
Com IPI (R$)]]/(1-Materiais[[#This Row],[Margem
(%)]])</f>
        <v>0</v>
      </c>
      <c r="N76" s="16">
        <f>Materiais[[#This Row],[Valor Venda c/ Potencial Desconto  em Material (R$)]]-Materiais[[#This Row],[Custo Total
Com IPI (R$)]]</f>
        <v>0</v>
      </c>
      <c r="O76" s="93">
        <f>Materiais[[#This Row],[Valor Total
Com Margem
Sem Tributos   (R$)]]/(1-('Valores Finais'!$C$10))</f>
        <v>0</v>
      </c>
      <c r="P76" s="93">
        <f>Materiais[[#This Row],[Valor Venda c/ Potencial Desconto  em Material (R$)]]/(1-('Valores Finais'!$B$6))</f>
        <v>0</v>
      </c>
      <c r="Q76" s="84">
        <f>'Valores Finais'!$B$10</f>
        <v>0.12</v>
      </c>
      <c r="R76" s="76">
        <f>Materiais[[#This Row],[Valor Venda c/ Comissões (R$)]]/(1-Materiais[[#This Row],[Tributos
(%)]])-Materiais[[#This Row],[Valor Venda c/ Comissões (R$)]]</f>
        <v>0</v>
      </c>
      <c r="S76" s="76">
        <f>Materiais[[#This Row],[Valor Venda c/ Comissões (R$)]]+Materiais[[#This Row],[Tributos
(R$)]]</f>
        <v>0</v>
      </c>
      <c r="T76" s="185"/>
      <c r="U76" s="186">
        <f ca="1">IF(Materiais[[#This Row],[Data Update]] = "",0,IF(_xlfn.DAYS(NOW(),Materiais[[#This Row],[Data Update]])&lt;=0,0,_xlfn.DAYS(NOW(),Materiais[[#This Row],[Data Update]])))</f>
        <v>0</v>
      </c>
    </row>
    <row r="77" spans="1:21" x14ac:dyDescent="0.2">
      <c r="A77" s="46"/>
      <c r="B77" s="46"/>
      <c r="C77" s="46"/>
      <c r="D77" s="46"/>
      <c r="E77" s="46"/>
      <c r="F77" s="138"/>
      <c r="G77" s="129"/>
      <c r="H77" s="180"/>
      <c r="I77" s="5">
        <f>(Materiais[[#This Row],[Qtde.]]*Materiais[[#This Row],[Custo Unitário
Sem Tributos (R$)]])</f>
        <v>0</v>
      </c>
      <c r="J77" s="92">
        <v>0</v>
      </c>
      <c r="K77" s="140">
        <f>Materiais[[#This Row],[Custo Total
Sem Tributos (R$)]]*Materiais[[#This Row],[IPI
(%)]]+Materiais[[#This Row],[Custo Total
Sem Tributos (R$)]]</f>
        <v>0</v>
      </c>
      <c r="L77" s="92">
        <v>0.1</v>
      </c>
      <c r="M77" s="76">
        <f>Materiais[[#This Row],[Custo Total
Com IPI (R$)]]/(1-Materiais[[#This Row],[Margem
(%)]])</f>
        <v>0</v>
      </c>
      <c r="N77" s="16">
        <f>Materiais[[#This Row],[Valor Venda c/ Potencial Desconto  em Material (R$)]]-Materiais[[#This Row],[Custo Total
Com IPI (R$)]]</f>
        <v>0</v>
      </c>
      <c r="O77" s="93">
        <f>Materiais[[#This Row],[Valor Total
Com Margem
Sem Tributos   (R$)]]/(1-('Valores Finais'!$C$10))</f>
        <v>0</v>
      </c>
      <c r="P77" s="93">
        <f>Materiais[[#This Row],[Valor Venda c/ Potencial Desconto  em Material (R$)]]/(1-('Valores Finais'!$B$6))</f>
        <v>0</v>
      </c>
      <c r="Q77" s="84">
        <f>'Valores Finais'!$B$10</f>
        <v>0.12</v>
      </c>
      <c r="R77" s="76">
        <f>Materiais[[#This Row],[Valor Venda c/ Comissões (R$)]]/(1-Materiais[[#This Row],[Tributos
(%)]])-Materiais[[#This Row],[Valor Venda c/ Comissões (R$)]]</f>
        <v>0</v>
      </c>
      <c r="S77" s="76">
        <f>Materiais[[#This Row],[Valor Venda c/ Comissões (R$)]]+Materiais[[#This Row],[Tributos
(R$)]]</f>
        <v>0</v>
      </c>
      <c r="T77" s="185"/>
      <c r="U77" s="186">
        <f ca="1">IF(Materiais[[#This Row],[Data Update]] = "",0,IF(_xlfn.DAYS(NOW(),Materiais[[#This Row],[Data Update]])&lt;=0,0,_xlfn.DAYS(NOW(),Materiais[[#This Row],[Data Update]])))</f>
        <v>0</v>
      </c>
    </row>
    <row r="78" spans="1:21" x14ac:dyDescent="0.2">
      <c r="A78" s="46"/>
      <c r="B78" s="46"/>
      <c r="C78" s="46"/>
      <c r="D78" s="46"/>
      <c r="E78" s="46"/>
      <c r="F78" s="138"/>
      <c r="G78" s="129"/>
      <c r="H78" s="180"/>
      <c r="I78" s="5">
        <f>(Materiais[[#This Row],[Qtde.]]*Materiais[[#This Row],[Custo Unitário
Sem Tributos (R$)]])</f>
        <v>0</v>
      </c>
      <c r="J78" s="92">
        <v>0</v>
      </c>
      <c r="K78" s="140">
        <f>Materiais[[#This Row],[Custo Total
Sem Tributos (R$)]]*Materiais[[#This Row],[IPI
(%)]]+Materiais[[#This Row],[Custo Total
Sem Tributos (R$)]]</f>
        <v>0</v>
      </c>
      <c r="L78" s="92">
        <v>0.1</v>
      </c>
      <c r="M78" s="76">
        <f>Materiais[[#This Row],[Custo Total
Com IPI (R$)]]/(1-Materiais[[#This Row],[Margem
(%)]])</f>
        <v>0</v>
      </c>
      <c r="N78" s="16">
        <f>Materiais[[#This Row],[Valor Venda c/ Potencial Desconto  em Material (R$)]]-Materiais[[#This Row],[Custo Total
Com IPI (R$)]]</f>
        <v>0</v>
      </c>
      <c r="O78" s="93">
        <f>Materiais[[#This Row],[Valor Total
Com Margem
Sem Tributos   (R$)]]/(1-('Valores Finais'!$C$10))</f>
        <v>0</v>
      </c>
      <c r="P78" s="93">
        <f>Materiais[[#This Row],[Valor Venda c/ Potencial Desconto  em Material (R$)]]/(1-('Valores Finais'!$B$6))</f>
        <v>0</v>
      </c>
      <c r="Q78" s="84">
        <f>'Valores Finais'!$B$10</f>
        <v>0.12</v>
      </c>
      <c r="R78" s="76">
        <f>Materiais[[#This Row],[Valor Venda c/ Comissões (R$)]]/(1-Materiais[[#This Row],[Tributos
(%)]])-Materiais[[#This Row],[Valor Venda c/ Comissões (R$)]]</f>
        <v>0</v>
      </c>
      <c r="S78" s="76">
        <f>Materiais[[#This Row],[Valor Venda c/ Comissões (R$)]]+Materiais[[#This Row],[Tributos
(R$)]]</f>
        <v>0</v>
      </c>
      <c r="T78" s="185"/>
      <c r="U78" s="186">
        <f ca="1">IF(Materiais[[#This Row],[Data Update]] = "",0,IF(_xlfn.DAYS(NOW(),Materiais[[#This Row],[Data Update]])&lt;=0,0,_xlfn.DAYS(NOW(),Materiais[[#This Row],[Data Update]])))</f>
        <v>0</v>
      </c>
    </row>
    <row r="79" spans="1:21" x14ac:dyDescent="0.2">
      <c r="A79" s="46"/>
      <c r="B79" s="46"/>
      <c r="C79" s="46"/>
      <c r="D79" s="46"/>
      <c r="E79" s="46"/>
      <c r="F79" s="138"/>
      <c r="G79" s="129"/>
      <c r="H79" s="180"/>
      <c r="I79" s="5">
        <f>(Materiais[[#This Row],[Qtde.]]*Materiais[[#This Row],[Custo Unitário
Sem Tributos (R$)]])</f>
        <v>0</v>
      </c>
      <c r="J79" s="92">
        <v>0</v>
      </c>
      <c r="K79" s="140">
        <f>Materiais[[#This Row],[Custo Total
Sem Tributos (R$)]]*Materiais[[#This Row],[IPI
(%)]]+Materiais[[#This Row],[Custo Total
Sem Tributos (R$)]]</f>
        <v>0</v>
      </c>
      <c r="L79" s="92">
        <v>0.1</v>
      </c>
      <c r="M79" s="76">
        <f>Materiais[[#This Row],[Custo Total
Com IPI (R$)]]/(1-Materiais[[#This Row],[Margem
(%)]])</f>
        <v>0</v>
      </c>
      <c r="N79" s="16">
        <f>Materiais[[#This Row],[Valor Venda c/ Potencial Desconto  em Material (R$)]]-Materiais[[#This Row],[Custo Total
Com IPI (R$)]]</f>
        <v>0</v>
      </c>
      <c r="O79" s="93">
        <f>Materiais[[#This Row],[Valor Total
Com Margem
Sem Tributos   (R$)]]/(1-('Valores Finais'!$C$10))</f>
        <v>0</v>
      </c>
      <c r="P79" s="93">
        <f>Materiais[[#This Row],[Valor Venda c/ Potencial Desconto  em Material (R$)]]/(1-('Valores Finais'!$B$6))</f>
        <v>0</v>
      </c>
      <c r="Q79" s="84">
        <f>'Valores Finais'!$B$10</f>
        <v>0.12</v>
      </c>
      <c r="R79" s="76">
        <f>Materiais[[#This Row],[Valor Venda c/ Comissões (R$)]]/(1-Materiais[[#This Row],[Tributos
(%)]])-Materiais[[#This Row],[Valor Venda c/ Comissões (R$)]]</f>
        <v>0</v>
      </c>
      <c r="S79" s="76">
        <f>Materiais[[#This Row],[Valor Venda c/ Comissões (R$)]]+Materiais[[#This Row],[Tributos
(R$)]]</f>
        <v>0</v>
      </c>
      <c r="T79" s="185"/>
      <c r="U79" s="186">
        <f ca="1">IF(Materiais[[#This Row],[Data Update]] = "",0,IF(_xlfn.DAYS(NOW(),Materiais[[#This Row],[Data Update]])&lt;=0,0,_xlfn.DAYS(NOW(),Materiais[[#This Row],[Data Update]])))</f>
        <v>0</v>
      </c>
    </row>
    <row r="80" spans="1:21" x14ac:dyDescent="0.2">
      <c r="A80" s="46"/>
      <c r="B80" s="46"/>
      <c r="C80" s="46"/>
      <c r="D80" s="46"/>
      <c r="E80" s="46"/>
      <c r="F80" s="138"/>
      <c r="G80" s="129"/>
      <c r="H80" s="180"/>
      <c r="I80" s="5">
        <f>(Materiais[[#This Row],[Qtde.]]*Materiais[[#This Row],[Custo Unitário
Sem Tributos (R$)]])</f>
        <v>0</v>
      </c>
      <c r="J80" s="92">
        <v>0</v>
      </c>
      <c r="K80" s="140">
        <f>Materiais[[#This Row],[Custo Total
Sem Tributos (R$)]]*Materiais[[#This Row],[IPI
(%)]]+Materiais[[#This Row],[Custo Total
Sem Tributos (R$)]]</f>
        <v>0</v>
      </c>
      <c r="L80" s="92">
        <v>0.1</v>
      </c>
      <c r="M80" s="76">
        <f>Materiais[[#This Row],[Custo Total
Com IPI (R$)]]/(1-Materiais[[#This Row],[Margem
(%)]])</f>
        <v>0</v>
      </c>
      <c r="N80" s="16">
        <f>Materiais[[#This Row],[Valor Venda c/ Potencial Desconto  em Material (R$)]]-Materiais[[#This Row],[Custo Total
Com IPI (R$)]]</f>
        <v>0</v>
      </c>
      <c r="O80" s="93">
        <f>Materiais[[#This Row],[Valor Total
Com Margem
Sem Tributos   (R$)]]/(1-('Valores Finais'!$C$10))</f>
        <v>0</v>
      </c>
      <c r="P80" s="93">
        <f>Materiais[[#This Row],[Valor Venda c/ Potencial Desconto  em Material (R$)]]/(1-('Valores Finais'!$B$6))</f>
        <v>0</v>
      </c>
      <c r="Q80" s="84">
        <f>'Valores Finais'!$B$10</f>
        <v>0.12</v>
      </c>
      <c r="R80" s="76">
        <f>Materiais[[#This Row],[Valor Venda c/ Comissões (R$)]]/(1-Materiais[[#This Row],[Tributos
(%)]])-Materiais[[#This Row],[Valor Venda c/ Comissões (R$)]]</f>
        <v>0</v>
      </c>
      <c r="S80" s="76">
        <f>Materiais[[#This Row],[Valor Venda c/ Comissões (R$)]]+Materiais[[#This Row],[Tributos
(R$)]]</f>
        <v>0</v>
      </c>
      <c r="T80" s="185"/>
      <c r="U80" s="186">
        <f ca="1">IF(Materiais[[#This Row],[Data Update]] = "",0,IF(_xlfn.DAYS(NOW(),Materiais[[#This Row],[Data Update]])&lt;=0,0,_xlfn.DAYS(NOW(),Materiais[[#This Row],[Data Update]])))</f>
        <v>0</v>
      </c>
    </row>
    <row r="81" spans="1:21" x14ac:dyDescent="0.2">
      <c r="A81" s="46"/>
      <c r="B81" s="46"/>
      <c r="C81" s="46"/>
      <c r="D81" s="46"/>
      <c r="E81" s="46"/>
      <c r="F81" s="138"/>
      <c r="G81" s="129"/>
      <c r="H81" s="180"/>
      <c r="I81" s="5">
        <f>(Materiais[[#This Row],[Qtde.]]*Materiais[[#This Row],[Custo Unitário
Sem Tributos (R$)]])</f>
        <v>0</v>
      </c>
      <c r="J81" s="92">
        <v>0</v>
      </c>
      <c r="K81" s="140">
        <f>Materiais[[#This Row],[Custo Total
Sem Tributos (R$)]]*Materiais[[#This Row],[IPI
(%)]]+Materiais[[#This Row],[Custo Total
Sem Tributos (R$)]]</f>
        <v>0</v>
      </c>
      <c r="L81" s="92">
        <v>0.1</v>
      </c>
      <c r="M81" s="76">
        <f>Materiais[[#This Row],[Custo Total
Com IPI (R$)]]/(1-Materiais[[#This Row],[Margem
(%)]])</f>
        <v>0</v>
      </c>
      <c r="N81" s="16">
        <f>Materiais[[#This Row],[Valor Venda c/ Potencial Desconto  em Material (R$)]]-Materiais[[#This Row],[Custo Total
Com IPI (R$)]]</f>
        <v>0</v>
      </c>
      <c r="O81" s="93">
        <f>Materiais[[#This Row],[Valor Total
Com Margem
Sem Tributos   (R$)]]/(1-('Valores Finais'!$C$10))</f>
        <v>0</v>
      </c>
      <c r="P81" s="93">
        <f>Materiais[[#This Row],[Valor Venda c/ Potencial Desconto  em Material (R$)]]/(1-('Valores Finais'!$B$6))</f>
        <v>0</v>
      </c>
      <c r="Q81" s="84">
        <f>'Valores Finais'!$B$10</f>
        <v>0.12</v>
      </c>
      <c r="R81" s="76">
        <f>Materiais[[#This Row],[Valor Venda c/ Comissões (R$)]]/(1-Materiais[[#This Row],[Tributos
(%)]])-Materiais[[#This Row],[Valor Venda c/ Comissões (R$)]]</f>
        <v>0</v>
      </c>
      <c r="S81" s="76">
        <f>Materiais[[#This Row],[Valor Venda c/ Comissões (R$)]]+Materiais[[#This Row],[Tributos
(R$)]]</f>
        <v>0</v>
      </c>
      <c r="T81" s="185"/>
      <c r="U81" s="186">
        <f ca="1">IF(Materiais[[#This Row],[Data Update]] = "",0,IF(_xlfn.DAYS(NOW(),Materiais[[#This Row],[Data Update]])&lt;=0,0,_xlfn.DAYS(NOW(),Materiais[[#This Row],[Data Update]])))</f>
        <v>0</v>
      </c>
    </row>
    <row r="82" spans="1:21" x14ac:dyDescent="0.2">
      <c r="A82" s="46"/>
      <c r="B82" s="46"/>
      <c r="C82" s="46"/>
      <c r="D82" s="46"/>
      <c r="E82" s="46"/>
      <c r="F82" s="138"/>
      <c r="G82" s="129"/>
      <c r="H82" s="180"/>
      <c r="I82" s="5">
        <f>(Materiais[[#This Row],[Qtde.]]*Materiais[[#This Row],[Custo Unitário
Sem Tributos (R$)]])</f>
        <v>0</v>
      </c>
      <c r="J82" s="92">
        <v>0</v>
      </c>
      <c r="K82" s="140">
        <f>Materiais[[#This Row],[Custo Total
Sem Tributos (R$)]]*Materiais[[#This Row],[IPI
(%)]]+Materiais[[#This Row],[Custo Total
Sem Tributos (R$)]]</f>
        <v>0</v>
      </c>
      <c r="L82" s="92">
        <v>0.1</v>
      </c>
      <c r="M82" s="76">
        <f>Materiais[[#This Row],[Custo Total
Com IPI (R$)]]/(1-Materiais[[#This Row],[Margem
(%)]])</f>
        <v>0</v>
      </c>
      <c r="N82" s="16">
        <f>Materiais[[#This Row],[Valor Venda c/ Potencial Desconto  em Material (R$)]]-Materiais[[#This Row],[Custo Total
Com IPI (R$)]]</f>
        <v>0</v>
      </c>
      <c r="O82" s="93">
        <f>Materiais[[#This Row],[Valor Total
Com Margem
Sem Tributos   (R$)]]/(1-('Valores Finais'!$C$10))</f>
        <v>0</v>
      </c>
      <c r="P82" s="93">
        <f>Materiais[[#This Row],[Valor Venda c/ Potencial Desconto  em Material (R$)]]/(1-('Valores Finais'!$B$6))</f>
        <v>0</v>
      </c>
      <c r="Q82" s="84">
        <f>'Valores Finais'!$B$10</f>
        <v>0.12</v>
      </c>
      <c r="R82" s="76">
        <f>Materiais[[#This Row],[Valor Venda c/ Comissões (R$)]]/(1-Materiais[[#This Row],[Tributos
(%)]])-Materiais[[#This Row],[Valor Venda c/ Comissões (R$)]]</f>
        <v>0</v>
      </c>
      <c r="S82" s="76">
        <f>Materiais[[#This Row],[Valor Venda c/ Comissões (R$)]]+Materiais[[#This Row],[Tributos
(R$)]]</f>
        <v>0</v>
      </c>
      <c r="T82" s="185"/>
      <c r="U82" s="186">
        <f ca="1">IF(Materiais[[#This Row],[Data Update]] = "",0,IF(_xlfn.DAYS(NOW(),Materiais[[#This Row],[Data Update]])&lt;=0,0,_xlfn.DAYS(NOW(),Materiais[[#This Row],[Data Update]])))</f>
        <v>0</v>
      </c>
    </row>
    <row r="83" spans="1:21" x14ac:dyDescent="0.2">
      <c r="A83" s="46"/>
      <c r="B83" s="46"/>
      <c r="C83" s="46"/>
      <c r="D83" s="46"/>
      <c r="E83" s="46"/>
      <c r="F83" s="138"/>
      <c r="G83" s="129"/>
      <c r="H83" s="180"/>
      <c r="I83" s="5">
        <f>(Materiais[[#This Row],[Qtde.]]*Materiais[[#This Row],[Custo Unitário
Sem Tributos (R$)]])</f>
        <v>0</v>
      </c>
      <c r="J83" s="92">
        <v>0</v>
      </c>
      <c r="K83" s="140">
        <f>Materiais[[#This Row],[Custo Total
Sem Tributos (R$)]]*Materiais[[#This Row],[IPI
(%)]]+Materiais[[#This Row],[Custo Total
Sem Tributos (R$)]]</f>
        <v>0</v>
      </c>
      <c r="L83" s="92">
        <v>0.1</v>
      </c>
      <c r="M83" s="76">
        <f>Materiais[[#This Row],[Custo Total
Com IPI (R$)]]/(1-Materiais[[#This Row],[Margem
(%)]])</f>
        <v>0</v>
      </c>
      <c r="N83" s="16">
        <f>Materiais[[#This Row],[Valor Venda c/ Potencial Desconto  em Material (R$)]]-Materiais[[#This Row],[Custo Total
Com IPI (R$)]]</f>
        <v>0</v>
      </c>
      <c r="O83" s="93">
        <f>Materiais[[#This Row],[Valor Total
Com Margem
Sem Tributos   (R$)]]/(1-('Valores Finais'!$C$10))</f>
        <v>0</v>
      </c>
      <c r="P83" s="93">
        <f>Materiais[[#This Row],[Valor Venda c/ Potencial Desconto  em Material (R$)]]/(1-('Valores Finais'!$B$6))</f>
        <v>0</v>
      </c>
      <c r="Q83" s="84">
        <f>'Valores Finais'!$B$10</f>
        <v>0.12</v>
      </c>
      <c r="R83" s="76">
        <f>Materiais[[#This Row],[Valor Venda c/ Comissões (R$)]]/(1-Materiais[[#This Row],[Tributos
(%)]])-Materiais[[#This Row],[Valor Venda c/ Comissões (R$)]]</f>
        <v>0</v>
      </c>
      <c r="S83" s="76">
        <f>Materiais[[#This Row],[Valor Venda c/ Comissões (R$)]]+Materiais[[#This Row],[Tributos
(R$)]]</f>
        <v>0</v>
      </c>
      <c r="T83" s="185"/>
      <c r="U83" s="186">
        <f ca="1">IF(Materiais[[#This Row],[Data Update]] = "",0,IF(_xlfn.DAYS(NOW(),Materiais[[#This Row],[Data Update]])&lt;=0,0,_xlfn.DAYS(NOW(),Materiais[[#This Row],[Data Update]])))</f>
        <v>0</v>
      </c>
    </row>
    <row r="84" spans="1:21" x14ac:dyDescent="0.2">
      <c r="A84" s="46"/>
      <c r="B84" s="46"/>
      <c r="C84" s="46"/>
      <c r="D84" s="46"/>
      <c r="E84" s="46"/>
      <c r="F84" s="138"/>
      <c r="G84" s="129"/>
      <c r="H84" s="180"/>
      <c r="I84" s="5">
        <f>(Materiais[[#This Row],[Qtde.]]*Materiais[[#This Row],[Custo Unitário
Sem Tributos (R$)]])</f>
        <v>0</v>
      </c>
      <c r="J84" s="92">
        <v>0</v>
      </c>
      <c r="K84" s="140">
        <f>Materiais[[#This Row],[Custo Total
Sem Tributos (R$)]]*Materiais[[#This Row],[IPI
(%)]]+Materiais[[#This Row],[Custo Total
Sem Tributos (R$)]]</f>
        <v>0</v>
      </c>
      <c r="L84" s="92">
        <v>0.1</v>
      </c>
      <c r="M84" s="76">
        <f>Materiais[[#This Row],[Custo Total
Com IPI (R$)]]/(1-Materiais[[#This Row],[Margem
(%)]])</f>
        <v>0</v>
      </c>
      <c r="N84" s="16">
        <f>Materiais[[#This Row],[Valor Venda c/ Potencial Desconto  em Material (R$)]]-Materiais[[#This Row],[Custo Total
Com IPI (R$)]]</f>
        <v>0</v>
      </c>
      <c r="O84" s="93">
        <f>Materiais[[#This Row],[Valor Total
Com Margem
Sem Tributos   (R$)]]/(1-('Valores Finais'!$C$10))</f>
        <v>0</v>
      </c>
      <c r="P84" s="93">
        <f>Materiais[[#This Row],[Valor Venda c/ Potencial Desconto  em Material (R$)]]/(1-('Valores Finais'!$B$6))</f>
        <v>0</v>
      </c>
      <c r="Q84" s="84">
        <f>'Valores Finais'!$B$10</f>
        <v>0.12</v>
      </c>
      <c r="R84" s="76">
        <f>Materiais[[#This Row],[Valor Venda c/ Comissões (R$)]]/(1-Materiais[[#This Row],[Tributos
(%)]])-Materiais[[#This Row],[Valor Venda c/ Comissões (R$)]]</f>
        <v>0</v>
      </c>
      <c r="S84" s="76">
        <f>Materiais[[#This Row],[Valor Venda c/ Comissões (R$)]]+Materiais[[#This Row],[Tributos
(R$)]]</f>
        <v>0</v>
      </c>
      <c r="T84" s="185"/>
      <c r="U84" s="186">
        <f ca="1">IF(Materiais[[#This Row],[Data Update]] = "",0,IF(_xlfn.DAYS(NOW(),Materiais[[#This Row],[Data Update]])&lt;=0,0,_xlfn.DAYS(NOW(),Materiais[[#This Row],[Data Update]])))</f>
        <v>0</v>
      </c>
    </row>
    <row r="85" spans="1:21" x14ac:dyDescent="0.2">
      <c r="A85" s="46"/>
      <c r="B85" s="46"/>
      <c r="C85" s="46"/>
      <c r="D85" s="46"/>
      <c r="E85" s="46"/>
      <c r="F85" s="138"/>
      <c r="G85" s="129"/>
      <c r="H85" s="180"/>
      <c r="I85" s="5">
        <f>(Materiais[[#This Row],[Qtde.]]*Materiais[[#This Row],[Custo Unitário
Sem Tributos (R$)]])</f>
        <v>0</v>
      </c>
      <c r="J85" s="92">
        <v>0</v>
      </c>
      <c r="K85" s="140">
        <f>Materiais[[#This Row],[Custo Total
Sem Tributos (R$)]]*Materiais[[#This Row],[IPI
(%)]]+Materiais[[#This Row],[Custo Total
Sem Tributos (R$)]]</f>
        <v>0</v>
      </c>
      <c r="L85" s="92">
        <v>0.1</v>
      </c>
      <c r="M85" s="76">
        <f>Materiais[[#This Row],[Custo Total
Com IPI (R$)]]/(1-Materiais[[#This Row],[Margem
(%)]])</f>
        <v>0</v>
      </c>
      <c r="N85" s="16">
        <f>Materiais[[#This Row],[Valor Venda c/ Potencial Desconto  em Material (R$)]]-Materiais[[#This Row],[Custo Total
Com IPI (R$)]]</f>
        <v>0</v>
      </c>
      <c r="O85" s="93">
        <f>Materiais[[#This Row],[Valor Total
Com Margem
Sem Tributos   (R$)]]/(1-('Valores Finais'!$C$10))</f>
        <v>0</v>
      </c>
      <c r="P85" s="93">
        <f>Materiais[[#This Row],[Valor Venda c/ Potencial Desconto  em Material (R$)]]/(1-('Valores Finais'!$B$6))</f>
        <v>0</v>
      </c>
      <c r="Q85" s="84">
        <f>'Valores Finais'!$B$10</f>
        <v>0.12</v>
      </c>
      <c r="R85" s="76">
        <f>Materiais[[#This Row],[Valor Venda c/ Comissões (R$)]]/(1-Materiais[[#This Row],[Tributos
(%)]])-Materiais[[#This Row],[Valor Venda c/ Comissões (R$)]]</f>
        <v>0</v>
      </c>
      <c r="S85" s="76">
        <f>Materiais[[#This Row],[Valor Venda c/ Comissões (R$)]]+Materiais[[#This Row],[Tributos
(R$)]]</f>
        <v>0</v>
      </c>
      <c r="T85" s="185"/>
      <c r="U85" s="186">
        <f ca="1">IF(Materiais[[#This Row],[Data Update]] = "",0,IF(_xlfn.DAYS(NOW(),Materiais[[#This Row],[Data Update]])&lt;=0,0,_xlfn.DAYS(NOW(),Materiais[[#This Row],[Data Update]])))</f>
        <v>0</v>
      </c>
    </row>
    <row r="86" spans="1:21" x14ac:dyDescent="0.2">
      <c r="A86" s="46"/>
      <c r="B86" s="46"/>
      <c r="C86" s="46"/>
      <c r="D86" s="46"/>
      <c r="E86" s="46"/>
      <c r="F86" s="138"/>
      <c r="G86" s="129"/>
      <c r="H86" s="180"/>
      <c r="I86" s="5">
        <f>(Materiais[[#This Row],[Qtde.]]*Materiais[[#This Row],[Custo Unitário
Sem Tributos (R$)]])</f>
        <v>0</v>
      </c>
      <c r="J86" s="92">
        <v>0</v>
      </c>
      <c r="K86" s="140">
        <f>Materiais[[#This Row],[Custo Total
Sem Tributos (R$)]]*Materiais[[#This Row],[IPI
(%)]]+Materiais[[#This Row],[Custo Total
Sem Tributos (R$)]]</f>
        <v>0</v>
      </c>
      <c r="L86" s="92">
        <v>0.1</v>
      </c>
      <c r="M86" s="76">
        <f>Materiais[[#This Row],[Custo Total
Com IPI (R$)]]/(1-Materiais[[#This Row],[Margem
(%)]])</f>
        <v>0</v>
      </c>
      <c r="N86" s="16">
        <f>Materiais[[#This Row],[Valor Venda c/ Potencial Desconto  em Material (R$)]]-Materiais[[#This Row],[Custo Total
Com IPI (R$)]]</f>
        <v>0</v>
      </c>
      <c r="O86" s="93">
        <f>Materiais[[#This Row],[Valor Total
Com Margem
Sem Tributos   (R$)]]/(1-('Valores Finais'!$C$10))</f>
        <v>0</v>
      </c>
      <c r="P86" s="93">
        <f>Materiais[[#This Row],[Valor Venda c/ Potencial Desconto  em Material (R$)]]/(1-('Valores Finais'!$B$6))</f>
        <v>0</v>
      </c>
      <c r="Q86" s="84">
        <f>'Valores Finais'!$B$10</f>
        <v>0.12</v>
      </c>
      <c r="R86" s="76">
        <f>Materiais[[#This Row],[Valor Venda c/ Comissões (R$)]]/(1-Materiais[[#This Row],[Tributos
(%)]])-Materiais[[#This Row],[Valor Venda c/ Comissões (R$)]]</f>
        <v>0</v>
      </c>
      <c r="S86" s="76">
        <f>Materiais[[#This Row],[Valor Venda c/ Comissões (R$)]]+Materiais[[#This Row],[Tributos
(R$)]]</f>
        <v>0</v>
      </c>
      <c r="T86" s="185"/>
      <c r="U86" s="186">
        <f ca="1">IF(Materiais[[#This Row],[Data Update]] = "",0,IF(_xlfn.DAYS(NOW(),Materiais[[#This Row],[Data Update]])&lt;=0,0,_xlfn.DAYS(NOW(),Materiais[[#This Row],[Data Update]])))</f>
        <v>0</v>
      </c>
    </row>
    <row r="87" spans="1:21" x14ac:dyDescent="0.2">
      <c r="A87" s="46"/>
      <c r="B87" s="46"/>
      <c r="C87" s="46"/>
      <c r="D87" s="46"/>
      <c r="E87" s="46"/>
      <c r="F87" s="138"/>
      <c r="G87" s="129"/>
      <c r="H87" s="180"/>
      <c r="I87" s="5">
        <f>(Materiais[[#This Row],[Qtde.]]*Materiais[[#This Row],[Custo Unitário
Sem Tributos (R$)]])</f>
        <v>0</v>
      </c>
      <c r="J87" s="92">
        <v>0</v>
      </c>
      <c r="K87" s="140">
        <f>Materiais[[#This Row],[Custo Total
Sem Tributos (R$)]]*Materiais[[#This Row],[IPI
(%)]]+Materiais[[#This Row],[Custo Total
Sem Tributos (R$)]]</f>
        <v>0</v>
      </c>
      <c r="L87" s="92">
        <v>0.1</v>
      </c>
      <c r="M87" s="76">
        <f>Materiais[[#This Row],[Custo Total
Com IPI (R$)]]/(1-Materiais[[#This Row],[Margem
(%)]])</f>
        <v>0</v>
      </c>
      <c r="N87" s="16">
        <f>Materiais[[#This Row],[Valor Venda c/ Potencial Desconto  em Material (R$)]]-Materiais[[#This Row],[Custo Total
Com IPI (R$)]]</f>
        <v>0</v>
      </c>
      <c r="O87" s="93">
        <f>Materiais[[#This Row],[Valor Total
Com Margem
Sem Tributos   (R$)]]/(1-('Valores Finais'!$C$10))</f>
        <v>0</v>
      </c>
      <c r="P87" s="93">
        <f>Materiais[[#This Row],[Valor Venda c/ Potencial Desconto  em Material (R$)]]/(1-('Valores Finais'!$B$6))</f>
        <v>0</v>
      </c>
      <c r="Q87" s="84">
        <f>'Valores Finais'!$B$10</f>
        <v>0.12</v>
      </c>
      <c r="R87" s="76">
        <f>Materiais[[#This Row],[Valor Venda c/ Comissões (R$)]]/(1-Materiais[[#This Row],[Tributos
(%)]])-Materiais[[#This Row],[Valor Venda c/ Comissões (R$)]]</f>
        <v>0</v>
      </c>
      <c r="S87" s="76">
        <f>Materiais[[#This Row],[Valor Venda c/ Comissões (R$)]]+Materiais[[#This Row],[Tributos
(R$)]]</f>
        <v>0</v>
      </c>
      <c r="T87" s="185"/>
      <c r="U87" s="186">
        <f ca="1">IF(Materiais[[#This Row],[Data Update]] = "",0,IF(_xlfn.DAYS(NOW(),Materiais[[#This Row],[Data Update]])&lt;=0,0,_xlfn.DAYS(NOW(),Materiais[[#This Row],[Data Update]])))</f>
        <v>0</v>
      </c>
    </row>
    <row r="88" spans="1:21" x14ac:dyDescent="0.2">
      <c r="A88" s="46"/>
      <c r="B88" s="46"/>
      <c r="C88" s="46"/>
      <c r="D88" s="46"/>
      <c r="E88" s="46"/>
      <c r="F88" s="138"/>
      <c r="G88" s="129"/>
      <c r="H88" s="180"/>
      <c r="I88" s="5">
        <f>(Materiais[[#This Row],[Qtde.]]*Materiais[[#This Row],[Custo Unitário
Sem Tributos (R$)]])</f>
        <v>0</v>
      </c>
      <c r="J88" s="92">
        <v>0</v>
      </c>
      <c r="K88" s="140">
        <f>Materiais[[#This Row],[Custo Total
Sem Tributos (R$)]]*Materiais[[#This Row],[IPI
(%)]]+Materiais[[#This Row],[Custo Total
Sem Tributos (R$)]]</f>
        <v>0</v>
      </c>
      <c r="L88" s="92">
        <v>0.1</v>
      </c>
      <c r="M88" s="76">
        <f>Materiais[[#This Row],[Custo Total
Com IPI (R$)]]/(1-Materiais[[#This Row],[Margem
(%)]])</f>
        <v>0</v>
      </c>
      <c r="N88" s="16">
        <f>Materiais[[#This Row],[Valor Venda c/ Potencial Desconto  em Material (R$)]]-Materiais[[#This Row],[Custo Total
Com IPI (R$)]]</f>
        <v>0</v>
      </c>
      <c r="O88" s="93">
        <f>Materiais[[#This Row],[Valor Total
Com Margem
Sem Tributos   (R$)]]/(1-('Valores Finais'!$C$10))</f>
        <v>0</v>
      </c>
      <c r="P88" s="93">
        <f>Materiais[[#This Row],[Valor Venda c/ Potencial Desconto  em Material (R$)]]/(1-('Valores Finais'!$B$6))</f>
        <v>0</v>
      </c>
      <c r="Q88" s="84">
        <f>'Valores Finais'!$B$10</f>
        <v>0.12</v>
      </c>
      <c r="R88" s="76">
        <f>Materiais[[#This Row],[Valor Venda c/ Comissões (R$)]]/(1-Materiais[[#This Row],[Tributos
(%)]])-Materiais[[#This Row],[Valor Venda c/ Comissões (R$)]]</f>
        <v>0</v>
      </c>
      <c r="S88" s="76">
        <f>Materiais[[#This Row],[Valor Venda c/ Comissões (R$)]]+Materiais[[#This Row],[Tributos
(R$)]]</f>
        <v>0</v>
      </c>
      <c r="T88" s="185"/>
      <c r="U88" s="186">
        <f ca="1">IF(Materiais[[#This Row],[Data Update]] = "",0,IF(_xlfn.DAYS(NOW(),Materiais[[#This Row],[Data Update]])&lt;=0,0,_xlfn.DAYS(NOW(),Materiais[[#This Row],[Data Update]])))</f>
        <v>0</v>
      </c>
    </row>
    <row r="89" spans="1:21" x14ac:dyDescent="0.2">
      <c r="A89" s="46"/>
      <c r="B89" s="46"/>
      <c r="C89" s="46"/>
      <c r="D89" s="46"/>
      <c r="E89" s="46"/>
      <c r="F89" s="138"/>
      <c r="G89" s="129"/>
      <c r="H89" s="180"/>
      <c r="I89" s="5">
        <f>(Materiais[[#This Row],[Qtde.]]*Materiais[[#This Row],[Custo Unitário
Sem Tributos (R$)]])</f>
        <v>0</v>
      </c>
      <c r="J89" s="92">
        <v>0</v>
      </c>
      <c r="K89" s="140">
        <f>Materiais[[#This Row],[Custo Total
Sem Tributos (R$)]]*Materiais[[#This Row],[IPI
(%)]]+Materiais[[#This Row],[Custo Total
Sem Tributos (R$)]]</f>
        <v>0</v>
      </c>
      <c r="L89" s="92">
        <v>0.1</v>
      </c>
      <c r="M89" s="76">
        <f>Materiais[[#This Row],[Custo Total
Com IPI (R$)]]/(1-Materiais[[#This Row],[Margem
(%)]])</f>
        <v>0</v>
      </c>
      <c r="N89" s="16">
        <f>Materiais[[#This Row],[Valor Venda c/ Potencial Desconto  em Material (R$)]]-Materiais[[#This Row],[Custo Total
Com IPI (R$)]]</f>
        <v>0</v>
      </c>
      <c r="O89" s="93">
        <f>Materiais[[#This Row],[Valor Total
Com Margem
Sem Tributos   (R$)]]/(1-('Valores Finais'!$C$10))</f>
        <v>0</v>
      </c>
      <c r="P89" s="93">
        <f>Materiais[[#This Row],[Valor Venda c/ Potencial Desconto  em Material (R$)]]/(1-('Valores Finais'!$B$6))</f>
        <v>0</v>
      </c>
      <c r="Q89" s="84">
        <f>'Valores Finais'!$B$10</f>
        <v>0.12</v>
      </c>
      <c r="R89" s="76">
        <f>Materiais[[#This Row],[Valor Venda c/ Comissões (R$)]]/(1-Materiais[[#This Row],[Tributos
(%)]])-Materiais[[#This Row],[Valor Venda c/ Comissões (R$)]]</f>
        <v>0</v>
      </c>
      <c r="S89" s="76">
        <f>Materiais[[#This Row],[Valor Venda c/ Comissões (R$)]]+Materiais[[#This Row],[Tributos
(R$)]]</f>
        <v>0</v>
      </c>
      <c r="T89" s="185"/>
      <c r="U89" s="186">
        <f ca="1">IF(Materiais[[#This Row],[Data Update]] = "",0,IF(_xlfn.DAYS(NOW(),Materiais[[#This Row],[Data Update]])&lt;=0,0,_xlfn.DAYS(NOW(),Materiais[[#This Row],[Data Update]])))</f>
        <v>0</v>
      </c>
    </row>
    <row r="90" spans="1:21" x14ac:dyDescent="0.2">
      <c r="A90" s="46"/>
      <c r="B90" s="46"/>
      <c r="C90" s="46"/>
      <c r="D90" s="46"/>
      <c r="E90" s="46"/>
      <c r="F90" s="138"/>
      <c r="G90" s="129"/>
      <c r="H90" s="180"/>
      <c r="I90" s="5">
        <f>(Materiais[[#This Row],[Qtde.]]*Materiais[[#This Row],[Custo Unitário
Sem Tributos (R$)]])</f>
        <v>0</v>
      </c>
      <c r="J90" s="92">
        <v>0</v>
      </c>
      <c r="K90" s="140">
        <f>Materiais[[#This Row],[Custo Total
Sem Tributos (R$)]]*Materiais[[#This Row],[IPI
(%)]]+Materiais[[#This Row],[Custo Total
Sem Tributos (R$)]]</f>
        <v>0</v>
      </c>
      <c r="L90" s="92">
        <v>0.1</v>
      </c>
      <c r="M90" s="76">
        <f>Materiais[[#This Row],[Custo Total
Com IPI (R$)]]/(1-Materiais[[#This Row],[Margem
(%)]])</f>
        <v>0</v>
      </c>
      <c r="N90" s="16">
        <f>Materiais[[#This Row],[Valor Venda c/ Potencial Desconto  em Material (R$)]]-Materiais[[#This Row],[Custo Total
Com IPI (R$)]]</f>
        <v>0</v>
      </c>
      <c r="O90" s="93">
        <f>Materiais[[#This Row],[Valor Total
Com Margem
Sem Tributos   (R$)]]/(1-('Valores Finais'!$C$10))</f>
        <v>0</v>
      </c>
      <c r="P90" s="93">
        <f>Materiais[[#This Row],[Valor Venda c/ Potencial Desconto  em Material (R$)]]/(1-('Valores Finais'!$B$6))</f>
        <v>0</v>
      </c>
      <c r="Q90" s="84">
        <f>'Valores Finais'!$B$10</f>
        <v>0.12</v>
      </c>
      <c r="R90" s="76">
        <f>Materiais[[#This Row],[Valor Venda c/ Comissões (R$)]]/(1-Materiais[[#This Row],[Tributos
(%)]])-Materiais[[#This Row],[Valor Venda c/ Comissões (R$)]]</f>
        <v>0</v>
      </c>
      <c r="S90" s="76">
        <f>Materiais[[#This Row],[Valor Venda c/ Comissões (R$)]]+Materiais[[#This Row],[Tributos
(R$)]]</f>
        <v>0</v>
      </c>
      <c r="T90" s="185"/>
      <c r="U90" s="186">
        <f ca="1">IF(Materiais[[#This Row],[Data Update]] = "",0,IF(_xlfn.DAYS(NOW(),Materiais[[#This Row],[Data Update]])&lt;=0,0,_xlfn.DAYS(NOW(),Materiais[[#This Row],[Data Update]])))</f>
        <v>0</v>
      </c>
    </row>
    <row r="91" spans="1:21" x14ac:dyDescent="0.2">
      <c r="A91" s="46"/>
      <c r="B91" s="46"/>
      <c r="C91" s="46"/>
      <c r="D91" s="46"/>
      <c r="E91" s="46"/>
      <c r="F91" s="138"/>
      <c r="G91" s="129"/>
      <c r="H91" s="180"/>
      <c r="I91" s="5">
        <f>(Materiais[[#This Row],[Qtde.]]*Materiais[[#This Row],[Custo Unitário
Sem Tributos (R$)]])</f>
        <v>0</v>
      </c>
      <c r="J91" s="92">
        <v>0</v>
      </c>
      <c r="K91" s="140">
        <f>Materiais[[#This Row],[Custo Total
Sem Tributos (R$)]]*Materiais[[#This Row],[IPI
(%)]]+Materiais[[#This Row],[Custo Total
Sem Tributos (R$)]]</f>
        <v>0</v>
      </c>
      <c r="L91" s="92">
        <v>0.1</v>
      </c>
      <c r="M91" s="76">
        <f>Materiais[[#This Row],[Custo Total
Com IPI (R$)]]/(1-Materiais[[#This Row],[Margem
(%)]])</f>
        <v>0</v>
      </c>
      <c r="N91" s="16">
        <f>Materiais[[#This Row],[Valor Venda c/ Potencial Desconto  em Material (R$)]]-Materiais[[#This Row],[Custo Total
Com IPI (R$)]]</f>
        <v>0</v>
      </c>
      <c r="O91" s="93">
        <f>Materiais[[#This Row],[Valor Total
Com Margem
Sem Tributos   (R$)]]/(1-('Valores Finais'!$C$10))</f>
        <v>0</v>
      </c>
      <c r="P91" s="93">
        <f>Materiais[[#This Row],[Valor Venda c/ Potencial Desconto  em Material (R$)]]/(1-('Valores Finais'!$B$6))</f>
        <v>0</v>
      </c>
      <c r="Q91" s="84">
        <f>'Valores Finais'!$B$10</f>
        <v>0.12</v>
      </c>
      <c r="R91" s="76">
        <f>Materiais[[#This Row],[Valor Venda c/ Comissões (R$)]]/(1-Materiais[[#This Row],[Tributos
(%)]])-Materiais[[#This Row],[Valor Venda c/ Comissões (R$)]]</f>
        <v>0</v>
      </c>
      <c r="S91" s="76">
        <f>Materiais[[#This Row],[Valor Venda c/ Comissões (R$)]]+Materiais[[#This Row],[Tributos
(R$)]]</f>
        <v>0</v>
      </c>
      <c r="T91" s="185"/>
      <c r="U91" s="186">
        <f ca="1">IF(Materiais[[#This Row],[Data Update]] = "",0,IF(_xlfn.DAYS(NOW(),Materiais[[#This Row],[Data Update]])&lt;=0,0,_xlfn.DAYS(NOW(),Materiais[[#This Row],[Data Update]])))</f>
        <v>0</v>
      </c>
    </row>
    <row r="92" spans="1:21" x14ac:dyDescent="0.2">
      <c r="A92" s="46"/>
      <c r="B92" s="46"/>
      <c r="C92" s="46"/>
      <c r="D92" s="46"/>
      <c r="E92" s="46"/>
      <c r="F92" s="138"/>
      <c r="G92" s="129"/>
      <c r="H92" s="180"/>
      <c r="I92" s="5">
        <f>(Materiais[[#This Row],[Qtde.]]*Materiais[[#This Row],[Custo Unitário
Sem Tributos (R$)]])</f>
        <v>0</v>
      </c>
      <c r="J92" s="92">
        <v>0</v>
      </c>
      <c r="K92" s="140">
        <f>Materiais[[#This Row],[Custo Total
Sem Tributos (R$)]]*Materiais[[#This Row],[IPI
(%)]]+Materiais[[#This Row],[Custo Total
Sem Tributos (R$)]]</f>
        <v>0</v>
      </c>
      <c r="L92" s="92">
        <v>0.1</v>
      </c>
      <c r="M92" s="76">
        <f>Materiais[[#This Row],[Custo Total
Com IPI (R$)]]/(1-Materiais[[#This Row],[Margem
(%)]])</f>
        <v>0</v>
      </c>
      <c r="N92" s="16">
        <f>Materiais[[#This Row],[Valor Venda c/ Potencial Desconto  em Material (R$)]]-Materiais[[#This Row],[Custo Total
Com IPI (R$)]]</f>
        <v>0</v>
      </c>
      <c r="O92" s="93">
        <f>Materiais[[#This Row],[Valor Total
Com Margem
Sem Tributos   (R$)]]/(1-('Valores Finais'!$C$10))</f>
        <v>0</v>
      </c>
      <c r="P92" s="93">
        <f>Materiais[[#This Row],[Valor Venda c/ Potencial Desconto  em Material (R$)]]/(1-('Valores Finais'!$B$6))</f>
        <v>0</v>
      </c>
      <c r="Q92" s="84">
        <f>'Valores Finais'!$B$10</f>
        <v>0.12</v>
      </c>
      <c r="R92" s="76">
        <f>Materiais[[#This Row],[Valor Venda c/ Comissões (R$)]]/(1-Materiais[[#This Row],[Tributos
(%)]])-Materiais[[#This Row],[Valor Venda c/ Comissões (R$)]]</f>
        <v>0</v>
      </c>
      <c r="S92" s="76">
        <f>Materiais[[#This Row],[Valor Venda c/ Comissões (R$)]]+Materiais[[#This Row],[Tributos
(R$)]]</f>
        <v>0</v>
      </c>
      <c r="T92" s="185"/>
      <c r="U92" s="186">
        <f ca="1">IF(Materiais[[#This Row],[Data Update]] = "",0,IF(_xlfn.DAYS(NOW(),Materiais[[#This Row],[Data Update]])&lt;=0,0,_xlfn.DAYS(NOW(),Materiais[[#This Row],[Data Update]])))</f>
        <v>0</v>
      </c>
    </row>
    <row r="93" spans="1:21" x14ac:dyDescent="0.2">
      <c r="A93" s="46"/>
      <c r="B93" s="46"/>
      <c r="C93" s="46"/>
      <c r="D93" s="46"/>
      <c r="E93" s="46"/>
      <c r="F93" s="138"/>
      <c r="G93" s="129"/>
      <c r="H93" s="180"/>
      <c r="I93" s="5">
        <f>(Materiais[[#This Row],[Qtde.]]*Materiais[[#This Row],[Custo Unitário
Sem Tributos (R$)]])</f>
        <v>0</v>
      </c>
      <c r="J93" s="92">
        <v>0</v>
      </c>
      <c r="K93" s="140">
        <f>Materiais[[#This Row],[Custo Total
Sem Tributos (R$)]]*Materiais[[#This Row],[IPI
(%)]]+Materiais[[#This Row],[Custo Total
Sem Tributos (R$)]]</f>
        <v>0</v>
      </c>
      <c r="L93" s="92">
        <v>0.1</v>
      </c>
      <c r="M93" s="76">
        <f>Materiais[[#This Row],[Custo Total
Com IPI (R$)]]/(1-Materiais[[#This Row],[Margem
(%)]])</f>
        <v>0</v>
      </c>
      <c r="N93" s="16">
        <f>Materiais[[#This Row],[Valor Venda c/ Potencial Desconto  em Material (R$)]]-Materiais[[#This Row],[Custo Total
Com IPI (R$)]]</f>
        <v>0</v>
      </c>
      <c r="O93" s="93">
        <f>Materiais[[#This Row],[Valor Total
Com Margem
Sem Tributos   (R$)]]/(1-('Valores Finais'!$C$10))</f>
        <v>0</v>
      </c>
      <c r="P93" s="93">
        <f>Materiais[[#This Row],[Valor Venda c/ Potencial Desconto  em Material (R$)]]/(1-('Valores Finais'!$B$6))</f>
        <v>0</v>
      </c>
      <c r="Q93" s="84">
        <f>'Valores Finais'!$B$10</f>
        <v>0.12</v>
      </c>
      <c r="R93" s="76">
        <f>Materiais[[#This Row],[Valor Venda c/ Comissões (R$)]]/(1-Materiais[[#This Row],[Tributos
(%)]])-Materiais[[#This Row],[Valor Venda c/ Comissões (R$)]]</f>
        <v>0</v>
      </c>
      <c r="S93" s="76">
        <f>Materiais[[#This Row],[Valor Venda c/ Comissões (R$)]]+Materiais[[#This Row],[Tributos
(R$)]]</f>
        <v>0</v>
      </c>
      <c r="T93" s="185"/>
      <c r="U93" s="186">
        <f ca="1">IF(Materiais[[#This Row],[Data Update]] = "",0,IF(_xlfn.DAYS(NOW(),Materiais[[#This Row],[Data Update]])&lt;=0,0,_xlfn.DAYS(NOW(),Materiais[[#This Row],[Data Update]])))</f>
        <v>0</v>
      </c>
    </row>
    <row r="94" spans="1:21" x14ac:dyDescent="0.2">
      <c r="A94" s="46"/>
      <c r="B94" s="46"/>
      <c r="C94" s="46"/>
      <c r="D94" s="46"/>
      <c r="E94" s="46"/>
      <c r="F94" s="138"/>
      <c r="G94" s="129"/>
      <c r="H94" s="180"/>
      <c r="I94" s="5">
        <f>(Materiais[[#This Row],[Qtde.]]*Materiais[[#This Row],[Custo Unitário
Sem Tributos (R$)]])</f>
        <v>0</v>
      </c>
      <c r="J94" s="92">
        <v>0</v>
      </c>
      <c r="K94" s="140">
        <f>Materiais[[#This Row],[Custo Total
Sem Tributos (R$)]]*Materiais[[#This Row],[IPI
(%)]]+Materiais[[#This Row],[Custo Total
Sem Tributos (R$)]]</f>
        <v>0</v>
      </c>
      <c r="L94" s="92">
        <v>0.1</v>
      </c>
      <c r="M94" s="76">
        <f>Materiais[[#This Row],[Custo Total
Com IPI (R$)]]/(1-Materiais[[#This Row],[Margem
(%)]])</f>
        <v>0</v>
      </c>
      <c r="N94" s="16">
        <f>Materiais[[#This Row],[Valor Venda c/ Potencial Desconto  em Material (R$)]]-Materiais[[#This Row],[Custo Total
Com IPI (R$)]]</f>
        <v>0</v>
      </c>
      <c r="O94" s="93">
        <f>Materiais[[#This Row],[Valor Total
Com Margem
Sem Tributos   (R$)]]/(1-('Valores Finais'!$C$10))</f>
        <v>0</v>
      </c>
      <c r="P94" s="93">
        <f>Materiais[[#This Row],[Valor Venda c/ Potencial Desconto  em Material (R$)]]/(1-('Valores Finais'!$B$6))</f>
        <v>0</v>
      </c>
      <c r="Q94" s="84">
        <f>'Valores Finais'!$B$10</f>
        <v>0.12</v>
      </c>
      <c r="R94" s="76">
        <f>Materiais[[#This Row],[Valor Venda c/ Comissões (R$)]]/(1-Materiais[[#This Row],[Tributos
(%)]])-Materiais[[#This Row],[Valor Venda c/ Comissões (R$)]]</f>
        <v>0</v>
      </c>
      <c r="S94" s="76">
        <f>Materiais[[#This Row],[Valor Venda c/ Comissões (R$)]]+Materiais[[#This Row],[Tributos
(R$)]]</f>
        <v>0</v>
      </c>
      <c r="T94" s="185"/>
      <c r="U94" s="186">
        <f ca="1">IF(Materiais[[#This Row],[Data Update]] = "",0,IF(_xlfn.DAYS(NOW(),Materiais[[#This Row],[Data Update]])&lt;=0,0,_xlfn.DAYS(NOW(),Materiais[[#This Row],[Data Update]])))</f>
        <v>0</v>
      </c>
    </row>
    <row r="95" spans="1:21" x14ac:dyDescent="0.2">
      <c r="A95" s="46"/>
      <c r="B95" s="46"/>
      <c r="C95" s="46"/>
      <c r="D95" s="46"/>
      <c r="E95" s="46"/>
      <c r="F95" s="138"/>
      <c r="G95" s="129"/>
      <c r="H95" s="180"/>
      <c r="I95" s="5">
        <f>(Materiais[[#This Row],[Qtde.]]*Materiais[[#This Row],[Custo Unitário
Sem Tributos (R$)]])</f>
        <v>0</v>
      </c>
      <c r="J95" s="92">
        <v>0</v>
      </c>
      <c r="K95" s="140">
        <f>Materiais[[#This Row],[Custo Total
Sem Tributos (R$)]]*Materiais[[#This Row],[IPI
(%)]]+Materiais[[#This Row],[Custo Total
Sem Tributos (R$)]]</f>
        <v>0</v>
      </c>
      <c r="L95" s="92">
        <v>0.1</v>
      </c>
      <c r="M95" s="76">
        <f>Materiais[[#This Row],[Custo Total
Com IPI (R$)]]/(1-Materiais[[#This Row],[Margem
(%)]])</f>
        <v>0</v>
      </c>
      <c r="N95" s="16">
        <f>Materiais[[#This Row],[Valor Venda c/ Potencial Desconto  em Material (R$)]]-Materiais[[#This Row],[Custo Total
Com IPI (R$)]]</f>
        <v>0</v>
      </c>
      <c r="O95" s="93">
        <f>Materiais[[#This Row],[Valor Total
Com Margem
Sem Tributos   (R$)]]/(1-('Valores Finais'!$C$10))</f>
        <v>0</v>
      </c>
      <c r="P95" s="93">
        <f>Materiais[[#This Row],[Valor Venda c/ Potencial Desconto  em Material (R$)]]/(1-('Valores Finais'!$B$6))</f>
        <v>0</v>
      </c>
      <c r="Q95" s="84">
        <f>'Valores Finais'!$B$10</f>
        <v>0.12</v>
      </c>
      <c r="R95" s="76">
        <f>Materiais[[#This Row],[Valor Venda c/ Comissões (R$)]]/(1-Materiais[[#This Row],[Tributos
(%)]])-Materiais[[#This Row],[Valor Venda c/ Comissões (R$)]]</f>
        <v>0</v>
      </c>
      <c r="S95" s="76">
        <f>Materiais[[#This Row],[Valor Venda c/ Comissões (R$)]]+Materiais[[#This Row],[Tributos
(R$)]]</f>
        <v>0</v>
      </c>
      <c r="T95" s="185"/>
      <c r="U95" s="186">
        <f ca="1">IF(Materiais[[#This Row],[Data Update]] = "",0,IF(_xlfn.DAYS(NOW(),Materiais[[#This Row],[Data Update]])&lt;=0,0,_xlfn.DAYS(NOW(),Materiais[[#This Row],[Data Update]])))</f>
        <v>0</v>
      </c>
    </row>
    <row r="96" spans="1:21" x14ac:dyDescent="0.2">
      <c r="A96" s="46"/>
      <c r="B96" s="46"/>
      <c r="C96" s="46"/>
      <c r="D96" s="46"/>
      <c r="E96" s="46"/>
      <c r="F96" s="138"/>
      <c r="G96" s="129"/>
      <c r="H96" s="180"/>
      <c r="I96" s="5">
        <f>(Materiais[[#This Row],[Qtde.]]*Materiais[[#This Row],[Custo Unitário
Sem Tributos (R$)]])</f>
        <v>0</v>
      </c>
      <c r="J96" s="92">
        <v>0</v>
      </c>
      <c r="K96" s="140">
        <f>Materiais[[#This Row],[Custo Total
Sem Tributos (R$)]]*Materiais[[#This Row],[IPI
(%)]]+Materiais[[#This Row],[Custo Total
Sem Tributos (R$)]]</f>
        <v>0</v>
      </c>
      <c r="L96" s="92">
        <v>0.1</v>
      </c>
      <c r="M96" s="76">
        <f>Materiais[[#This Row],[Custo Total
Com IPI (R$)]]/(1-Materiais[[#This Row],[Margem
(%)]])</f>
        <v>0</v>
      </c>
      <c r="N96" s="16">
        <f>Materiais[[#This Row],[Valor Venda c/ Potencial Desconto  em Material (R$)]]-Materiais[[#This Row],[Custo Total
Com IPI (R$)]]</f>
        <v>0</v>
      </c>
      <c r="O96" s="93">
        <f>Materiais[[#This Row],[Valor Total
Com Margem
Sem Tributos   (R$)]]/(1-('Valores Finais'!$C$10))</f>
        <v>0</v>
      </c>
      <c r="P96" s="93">
        <f>Materiais[[#This Row],[Valor Venda c/ Potencial Desconto  em Material (R$)]]/(1-('Valores Finais'!$B$6))</f>
        <v>0</v>
      </c>
      <c r="Q96" s="84">
        <f>'Valores Finais'!$B$10</f>
        <v>0.12</v>
      </c>
      <c r="R96" s="76">
        <f>Materiais[[#This Row],[Valor Venda c/ Comissões (R$)]]/(1-Materiais[[#This Row],[Tributos
(%)]])-Materiais[[#This Row],[Valor Venda c/ Comissões (R$)]]</f>
        <v>0</v>
      </c>
      <c r="S96" s="76">
        <f>Materiais[[#This Row],[Valor Venda c/ Comissões (R$)]]+Materiais[[#This Row],[Tributos
(R$)]]</f>
        <v>0</v>
      </c>
      <c r="T96" s="185"/>
      <c r="U96" s="186">
        <f ca="1">IF(Materiais[[#This Row],[Data Update]] = "",0,IF(_xlfn.DAYS(NOW(),Materiais[[#This Row],[Data Update]])&lt;=0,0,_xlfn.DAYS(NOW(),Materiais[[#This Row],[Data Update]])))</f>
        <v>0</v>
      </c>
    </row>
    <row r="97" spans="1:21" x14ac:dyDescent="0.2">
      <c r="A97" s="46"/>
      <c r="B97" s="46"/>
      <c r="C97" s="46"/>
      <c r="D97" s="46"/>
      <c r="E97" s="46"/>
      <c r="F97" s="138"/>
      <c r="G97" s="129"/>
      <c r="H97" s="180"/>
      <c r="I97" s="5">
        <f>(Materiais[[#This Row],[Qtde.]]*Materiais[[#This Row],[Custo Unitário
Sem Tributos (R$)]])</f>
        <v>0</v>
      </c>
      <c r="J97" s="92">
        <v>0</v>
      </c>
      <c r="K97" s="140">
        <f>Materiais[[#This Row],[Custo Total
Sem Tributos (R$)]]*Materiais[[#This Row],[IPI
(%)]]+Materiais[[#This Row],[Custo Total
Sem Tributos (R$)]]</f>
        <v>0</v>
      </c>
      <c r="L97" s="92">
        <v>0.1</v>
      </c>
      <c r="M97" s="76">
        <f>Materiais[[#This Row],[Custo Total
Com IPI (R$)]]/(1-Materiais[[#This Row],[Margem
(%)]])</f>
        <v>0</v>
      </c>
      <c r="N97" s="16">
        <f>Materiais[[#This Row],[Valor Venda c/ Potencial Desconto  em Material (R$)]]-Materiais[[#This Row],[Custo Total
Com IPI (R$)]]</f>
        <v>0</v>
      </c>
      <c r="O97" s="93">
        <f>Materiais[[#This Row],[Valor Total
Com Margem
Sem Tributos   (R$)]]/(1-('Valores Finais'!$C$10))</f>
        <v>0</v>
      </c>
      <c r="P97" s="93">
        <f>Materiais[[#This Row],[Valor Venda c/ Potencial Desconto  em Material (R$)]]/(1-('Valores Finais'!$B$6))</f>
        <v>0</v>
      </c>
      <c r="Q97" s="84">
        <f>'Valores Finais'!$B$10</f>
        <v>0.12</v>
      </c>
      <c r="R97" s="76">
        <f>Materiais[[#This Row],[Valor Venda c/ Comissões (R$)]]/(1-Materiais[[#This Row],[Tributos
(%)]])-Materiais[[#This Row],[Valor Venda c/ Comissões (R$)]]</f>
        <v>0</v>
      </c>
      <c r="S97" s="76">
        <f>Materiais[[#This Row],[Valor Venda c/ Comissões (R$)]]+Materiais[[#This Row],[Tributos
(R$)]]</f>
        <v>0</v>
      </c>
      <c r="T97" s="185"/>
      <c r="U97" s="186">
        <f ca="1">IF(Materiais[[#This Row],[Data Update]] = "",0,IF(_xlfn.DAYS(NOW(),Materiais[[#This Row],[Data Update]])&lt;=0,0,_xlfn.DAYS(NOW(),Materiais[[#This Row],[Data Update]])))</f>
        <v>0</v>
      </c>
    </row>
    <row r="98" spans="1:21" x14ac:dyDescent="0.2">
      <c r="A98" s="46"/>
      <c r="B98" s="46"/>
      <c r="C98" s="46"/>
      <c r="D98" s="46"/>
      <c r="E98" s="46"/>
      <c r="F98" s="138"/>
      <c r="G98" s="129"/>
      <c r="H98" s="180"/>
      <c r="I98" s="5">
        <v>0</v>
      </c>
      <c r="J98" s="92">
        <v>0</v>
      </c>
      <c r="K98" s="140">
        <f>Materiais[[#This Row],[Custo Total
Sem Tributos (R$)]]*Materiais[[#This Row],[IPI
(%)]]+Materiais[[#This Row],[Custo Total
Sem Tributos (R$)]]</f>
        <v>0</v>
      </c>
      <c r="L98" s="92">
        <v>0.1</v>
      </c>
      <c r="M98" s="76">
        <f>Materiais[[#This Row],[Custo Total
Com IPI (R$)]]/(1-Materiais[[#This Row],[Margem
(%)]])</f>
        <v>0</v>
      </c>
      <c r="N98" s="16">
        <f>Materiais[[#This Row],[Valor Venda c/ Potencial Desconto  em Material (R$)]]-Materiais[[#This Row],[Custo Total
Com IPI (R$)]]</f>
        <v>0</v>
      </c>
      <c r="O98" s="93">
        <f>Materiais[[#This Row],[Valor Total
Com Margem
Sem Tributos   (R$)]]/(1-('Valores Finais'!$C$10))</f>
        <v>0</v>
      </c>
      <c r="P98" s="93">
        <f>Materiais[[#This Row],[Valor Venda c/ Potencial Desconto  em Material (R$)]]/(1-('Valores Finais'!$B$6))</f>
        <v>0</v>
      </c>
      <c r="Q98" s="84">
        <f>'Valores Finais'!$B$10</f>
        <v>0.12</v>
      </c>
      <c r="R98" s="76">
        <f>Materiais[[#This Row],[Valor Venda c/ Comissões (R$)]]/(1-Materiais[[#This Row],[Tributos
(%)]])-Materiais[[#This Row],[Valor Venda c/ Comissões (R$)]]</f>
        <v>0</v>
      </c>
      <c r="S98" s="76">
        <f>Materiais[[#This Row],[Valor Venda c/ Comissões (R$)]]+Materiais[[#This Row],[Tributos
(R$)]]</f>
        <v>0</v>
      </c>
      <c r="T98" s="185"/>
      <c r="U98" s="186">
        <f ca="1">IF(Materiais[[#This Row],[Data Update]] = "",0,IF(_xlfn.DAYS(NOW(),Materiais[[#This Row],[Data Update]])&lt;=0,0,_xlfn.DAYS(NOW(),Materiais[[#This Row],[Data Update]])))</f>
        <v>0</v>
      </c>
    </row>
    <row r="99" spans="1:21" x14ac:dyDescent="0.2">
      <c r="A99" s="46"/>
      <c r="B99" s="46"/>
      <c r="C99" s="46"/>
      <c r="D99" s="46"/>
      <c r="E99" s="46"/>
      <c r="F99" s="138"/>
      <c r="G99" s="129"/>
      <c r="H99" s="180"/>
      <c r="I99" s="5">
        <f>(Materiais[[#This Row],[Qtde.]]*Materiais[[#This Row],[Custo Unitário
Sem Tributos (R$)]])</f>
        <v>0</v>
      </c>
      <c r="J99" s="92">
        <v>0</v>
      </c>
      <c r="K99" s="140">
        <f>Materiais[[#This Row],[Custo Total
Sem Tributos (R$)]]*Materiais[[#This Row],[IPI
(%)]]+Materiais[[#This Row],[Custo Total
Sem Tributos (R$)]]</f>
        <v>0</v>
      </c>
      <c r="L99" s="92">
        <v>0.1</v>
      </c>
      <c r="M99" s="76">
        <f>Materiais[[#This Row],[Custo Total
Com IPI (R$)]]/(1-Materiais[[#This Row],[Margem
(%)]])</f>
        <v>0</v>
      </c>
      <c r="N99" s="16">
        <f>Materiais[[#This Row],[Valor Venda c/ Potencial Desconto  em Material (R$)]]-Materiais[[#This Row],[Custo Total
Com IPI (R$)]]</f>
        <v>0</v>
      </c>
      <c r="O99" s="93">
        <f>Materiais[[#This Row],[Valor Total
Com Margem
Sem Tributos   (R$)]]/(1-('Valores Finais'!$C$10))</f>
        <v>0</v>
      </c>
      <c r="P99" s="93">
        <f>Materiais[[#This Row],[Valor Venda c/ Potencial Desconto  em Material (R$)]]/(1-('Valores Finais'!$B$6))</f>
        <v>0</v>
      </c>
      <c r="Q99" s="84">
        <f>'Valores Finais'!$B$10</f>
        <v>0.12</v>
      </c>
      <c r="R99" s="76">
        <f>Materiais[[#This Row],[Valor Venda c/ Comissões (R$)]]/(1-Materiais[[#This Row],[Tributos
(%)]])-Materiais[[#This Row],[Valor Venda c/ Comissões (R$)]]</f>
        <v>0</v>
      </c>
      <c r="S99" s="76">
        <f>Materiais[[#This Row],[Valor Venda c/ Comissões (R$)]]+Materiais[[#This Row],[Tributos
(R$)]]</f>
        <v>0</v>
      </c>
      <c r="T99" s="185"/>
      <c r="U99" s="186">
        <f ca="1">IF(Materiais[[#This Row],[Data Update]] = "",0,IF(_xlfn.DAYS(NOW(),Materiais[[#This Row],[Data Update]])&lt;=0,0,_xlfn.DAYS(NOW(),Materiais[[#This Row],[Data Update]])))</f>
        <v>0</v>
      </c>
    </row>
    <row r="100" spans="1:21" x14ac:dyDescent="0.2">
      <c r="A100" s="46"/>
      <c r="B100" s="46"/>
      <c r="C100" s="46"/>
      <c r="D100" s="46"/>
      <c r="E100" s="46"/>
      <c r="F100" s="138"/>
      <c r="G100" s="129"/>
      <c r="H100" s="180"/>
      <c r="I100" s="5">
        <f>(Materiais[[#This Row],[Qtde.]]*Materiais[[#This Row],[Custo Unitário
Sem Tributos (R$)]])</f>
        <v>0</v>
      </c>
      <c r="J100" s="92">
        <v>0</v>
      </c>
      <c r="K100" s="140">
        <f>Materiais[[#This Row],[Custo Total
Sem Tributos (R$)]]*Materiais[[#This Row],[IPI
(%)]]+Materiais[[#This Row],[Custo Total
Sem Tributos (R$)]]</f>
        <v>0</v>
      </c>
      <c r="L100" s="92">
        <v>0.1</v>
      </c>
      <c r="M100" s="76">
        <f>Materiais[[#This Row],[Custo Total
Com IPI (R$)]]/(1-Materiais[[#This Row],[Margem
(%)]])</f>
        <v>0</v>
      </c>
      <c r="N100" s="16">
        <f>Materiais[[#This Row],[Valor Venda c/ Potencial Desconto  em Material (R$)]]-Materiais[[#This Row],[Custo Total
Com IPI (R$)]]</f>
        <v>0</v>
      </c>
      <c r="O100" s="93">
        <f>Materiais[[#This Row],[Valor Total
Com Margem
Sem Tributos   (R$)]]/(1-('Valores Finais'!$C$10))</f>
        <v>0</v>
      </c>
      <c r="P100" s="93">
        <f>Materiais[[#This Row],[Valor Venda c/ Potencial Desconto  em Material (R$)]]/(1-('Valores Finais'!$B$6))</f>
        <v>0</v>
      </c>
      <c r="Q100" s="84">
        <f>'Valores Finais'!$B$10</f>
        <v>0.12</v>
      </c>
      <c r="R100" s="76">
        <f>Materiais[[#This Row],[Valor Venda c/ Comissões (R$)]]/(1-Materiais[[#This Row],[Tributos
(%)]])-Materiais[[#This Row],[Valor Venda c/ Comissões (R$)]]</f>
        <v>0</v>
      </c>
      <c r="S100" s="76">
        <f>Materiais[[#This Row],[Valor Venda c/ Comissões (R$)]]+Materiais[[#This Row],[Tributos
(R$)]]</f>
        <v>0</v>
      </c>
      <c r="T100" s="185"/>
      <c r="U100" s="186">
        <f ca="1">IF(Materiais[[#This Row],[Data Update]] = "",0,IF(_xlfn.DAYS(NOW(),Materiais[[#This Row],[Data Update]])&lt;=0,0,_xlfn.DAYS(NOW(),Materiais[[#This Row],[Data Update]])))</f>
        <v>0</v>
      </c>
    </row>
    <row r="101" spans="1:21" x14ac:dyDescent="0.2">
      <c r="A101" s="46"/>
      <c r="B101" s="46"/>
      <c r="C101" s="46"/>
      <c r="D101" s="46"/>
      <c r="E101" s="46"/>
      <c r="F101" s="138"/>
      <c r="G101" s="129"/>
      <c r="H101" s="180"/>
      <c r="I101" s="5">
        <f>(Materiais[[#This Row],[Qtde.]]*Materiais[[#This Row],[Custo Unitário
Sem Tributos (R$)]])</f>
        <v>0</v>
      </c>
      <c r="J101" s="92">
        <v>0</v>
      </c>
      <c r="K101" s="140">
        <f>Materiais[[#This Row],[Custo Total
Sem Tributos (R$)]]*Materiais[[#This Row],[IPI
(%)]]+Materiais[[#This Row],[Custo Total
Sem Tributos (R$)]]</f>
        <v>0</v>
      </c>
      <c r="L101" s="92">
        <v>0.1</v>
      </c>
      <c r="M101" s="76">
        <f>Materiais[[#This Row],[Custo Total
Com IPI (R$)]]/(1-Materiais[[#This Row],[Margem
(%)]])</f>
        <v>0</v>
      </c>
      <c r="N101" s="16">
        <f>Materiais[[#This Row],[Valor Venda c/ Potencial Desconto  em Material (R$)]]-Materiais[[#This Row],[Custo Total
Com IPI (R$)]]</f>
        <v>0</v>
      </c>
      <c r="O101" s="93">
        <f>Materiais[[#This Row],[Valor Total
Com Margem
Sem Tributos   (R$)]]/(1-('Valores Finais'!$C$10))</f>
        <v>0</v>
      </c>
      <c r="P101" s="93">
        <f>Materiais[[#This Row],[Valor Venda c/ Potencial Desconto  em Material (R$)]]/(1-('Valores Finais'!$B$6))</f>
        <v>0</v>
      </c>
      <c r="Q101" s="84">
        <f>'Valores Finais'!$B$10</f>
        <v>0.12</v>
      </c>
      <c r="R101" s="76">
        <f>Materiais[[#This Row],[Valor Venda c/ Comissões (R$)]]/(1-Materiais[[#This Row],[Tributos
(%)]])-Materiais[[#This Row],[Valor Venda c/ Comissões (R$)]]</f>
        <v>0</v>
      </c>
      <c r="S101" s="76">
        <f>Materiais[[#This Row],[Valor Venda c/ Comissões (R$)]]+Materiais[[#This Row],[Tributos
(R$)]]</f>
        <v>0</v>
      </c>
      <c r="T101" s="185"/>
      <c r="U101" s="186">
        <f ca="1">IF(Materiais[[#This Row],[Data Update]] = "",0,IF(_xlfn.DAYS(NOW(),Materiais[[#This Row],[Data Update]])&lt;=0,0,_xlfn.DAYS(NOW(),Materiais[[#This Row],[Data Update]])))</f>
        <v>0</v>
      </c>
    </row>
    <row r="102" spans="1:21" x14ac:dyDescent="0.2">
      <c r="A102" s="46"/>
      <c r="B102" s="46"/>
      <c r="C102" s="46"/>
      <c r="D102" s="46"/>
      <c r="E102" s="46"/>
      <c r="F102" s="138"/>
      <c r="G102" s="129"/>
      <c r="H102" s="180"/>
      <c r="I102" s="5">
        <f>(Materiais[[#This Row],[Qtde.]]*Materiais[[#This Row],[Custo Unitário
Sem Tributos (R$)]])</f>
        <v>0</v>
      </c>
      <c r="J102" s="92">
        <v>0</v>
      </c>
      <c r="K102" s="140">
        <f>Materiais[[#This Row],[Custo Total
Sem Tributos (R$)]]*Materiais[[#This Row],[IPI
(%)]]+Materiais[[#This Row],[Custo Total
Sem Tributos (R$)]]</f>
        <v>0</v>
      </c>
      <c r="L102" s="92">
        <v>0.1</v>
      </c>
      <c r="M102" s="76">
        <f>Materiais[[#This Row],[Custo Total
Com IPI (R$)]]/(1-Materiais[[#This Row],[Margem
(%)]])</f>
        <v>0</v>
      </c>
      <c r="N102" s="16">
        <f>Materiais[[#This Row],[Valor Venda c/ Potencial Desconto  em Material (R$)]]-Materiais[[#This Row],[Custo Total
Com IPI (R$)]]</f>
        <v>0</v>
      </c>
      <c r="O102" s="93">
        <f>Materiais[[#This Row],[Valor Total
Com Margem
Sem Tributos   (R$)]]/(1-('Valores Finais'!$C$10))</f>
        <v>0</v>
      </c>
      <c r="P102" s="93">
        <f>Materiais[[#This Row],[Valor Venda c/ Potencial Desconto  em Material (R$)]]/(1-('Valores Finais'!$B$6))</f>
        <v>0</v>
      </c>
      <c r="Q102" s="84">
        <f>'Valores Finais'!$B$10</f>
        <v>0.12</v>
      </c>
      <c r="R102" s="76">
        <f>Materiais[[#This Row],[Valor Venda c/ Comissões (R$)]]/(1-Materiais[[#This Row],[Tributos
(%)]])-Materiais[[#This Row],[Valor Venda c/ Comissões (R$)]]</f>
        <v>0</v>
      </c>
      <c r="S102" s="76">
        <f>Materiais[[#This Row],[Valor Venda c/ Comissões (R$)]]+Materiais[[#This Row],[Tributos
(R$)]]</f>
        <v>0</v>
      </c>
      <c r="T102" s="185"/>
      <c r="U102" s="186">
        <f ca="1">IF(Materiais[[#This Row],[Data Update]] = "",0,IF(_xlfn.DAYS(NOW(),Materiais[[#This Row],[Data Update]])&lt;=0,0,_xlfn.DAYS(NOW(),Materiais[[#This Row],[Data Update]])))</f>
        <v>0</v>
      </c>
    </row>
    <row r="103" spans="1:21" x14ac:dyDescent="0.2">
      <c r="A103" s="46"/>
      <c r="B103" s="46"/>
      <c r="C103" s="46"/>
      <c r="D103" s="46"/>
      <c r="E103" s="46"/>
      <c r="F103" s="138"/>
      <c r="G103" s="129"/>
      <c r="H103" s="180"/>
      <c r="I103" s="5">
        <f>(Materiais[[#This Row],[Qtde.]]*Materiais[[#This Row],[Custo Unitário
Sem Tributos (R$)]])</f>
        <v>0</v>
      </c>
      <c r="J103" s="92">
        <v>0</v>
      </c>
      <c r="K103" s="140">
        <f>Materiais[[#This Row],[Custo Total
Sem Tributos (R$)]]*Materiais[[#This Row],[IPI
(%)]]+Materiais[[#This Row],[Custo Total
Sem Tributos (R$)]]</f>
        <v>0</v>
      </c>
      <c r="L103" s="92">
        <v>0.1</v>
      </c>
      <c r="M103" s="76">
        <f>Materiais[[#This Row],[Custo Total
Com IPI (R$)]]/(1-Materiais[[#This Row],[Margem
(%)]])</f>
        <v>0</v>
      </c>
      <c r="N103" s="16">
        <f>Materiais[[#This Row],[Valor Venda c/ Potencial Desconto  em Material (R$)]]-Materiais[[#This Row],[Custo Total
Com IPI (R$)]]</f>
        <v>0</v>
      </c>
      <c r="O103" s="93">
        <f>Materiais[[#This Row],[Valor Total
Com Margem
Sem Tributos   (R$)]]/(1-('Valores Finais'!$C$10))</f>
        <v>0</v>
      </c>
      <c r="P103" s="93">
        <f>Materiais[[#This Row],[Valor Venda c/ Potencial Desconto  em Material (R$)]]/(1-('Valores Finais'!$B$6))</f>
        <v>0</v>
      </c>
      <c r="Q103" s="84">
        <f>'Valores Finais'!$B$10</f>
        <v>0.12</v>
      </c>
      <c r="R103" s="76">
        <f>Materiais[[#This Row],[Valor Venda c/ Comissões (R$)]]/(1-Materiais[[#This Row],[Tributos
(%)]])-Materiais[[#This Row],[Valor Venda c/ Comissões (R$)]]</f>
        <v>0</v>
      </c>
      <c r="S103" s="76">
        <f>Materiais[[#This Row],[Valor Venda c/ Comissões (R$)]]+Materiais[[#This Row],[Tributos
(R$)]]</f>
        <v>0</v>
      </c>
      <c r="T103" s="185"/>
      <c r="U103" s="186">
        <f ca="1">IF(Materiais[[#This Row],[Data Update]] = "",0,IF(_xlfn.DAYS(NOW(),Materiais[[#This Row],[Data Update]])&lt;=0,0,_xlfn.DAYS(NOW(),Materiais[[#This Row],[Data Update]])))</f>
        <v>0</v>
      </c>
    </row>
    <row r="104" spans="1:21" x14ac:dyDescent="0.2">
      <c r="A104" s="46"/>
      <c r="B104" s="46"/>
      <c r="C104" s="46"/>
      <c r="D104" s="46"/>
      <c r="E104" s="46"/>
      <c r="F104" s="138"/>
      <c r="G104" s="129"/>
      <c r="H104" s="180"/>
      <c r="I104" s="5">
        <f>(Materiais[[#This Row],[Qtde.]]*Materiais[[#This Row],[Custo Unitário
Sem Tributos (R$)]])</f>
        <v>0</v>
      </c>
      <c r="J104" s="92">
        <v>0</v>
      </c>
      <c r="K104" s="140">
        <f>Materiais[[#This Row],[Custo Total
Sem Tributos (R$)]]*Materiais[[#This Row],[IPI
(%)]]+Materiais[[#This Row],[Custo Total
Sem Tributos (R$)]]</f>
        <v>0</v>
      </c>
      <c r="L104" s="92">
        <v>0.1</v>
      </c>
      <c r="M104" s="76">
        <f>Materiais[[#This Row],[Custo Total
Com IPI (R$)]]/(1-Materiais[[#This Row],[Margem
(%)]])</f>
        <v>0</v>
      </c>
      <c r="N104" s="16">
        <f>Materiais[[#This Row],[Valor Venda c/ Potencial Desconto  em Material (R$)]]-Materiais[[#This Row],[Custo Total
Com IPI (R$)]]</f>
        <v>0</v>
      </c>
      <c r="O104" s="93">
        <f>Materiais[[#This Row],[Valor Total
Com Margem
Sem Tributos   (R$)]]/(1-('Valores Finais'!$C$10))</f>
        <v>0</v>
      </c>
      <c r="P104" s="93">
        <f>Materiais[[#This Row],[Valor Venda c/ Potencial Desconto  em Material (R$)]]/(1-('Valores Finais'!$B$6))</f>
        <v>0</v>
      </c>
      <c r="Q104" s="84">
        <f>'Valores Finais'!$B$10</f>
        <v>0.12</v>
      </c>
      <c r="R104" s="76">
        <f>Materiais[[#This Row],[Valor Venda c/ Comissões (R$)]]/(1-Materiais[[#This Row],[Tributos
(%)]])-Materiais[[#This Row],[Valor Venda c/ Comissões (R$)]]</f>
        <v>0</v>
      </c>
      <c r="S104" s="76">
        <f>Materiais[[#This Row],[Valor Venda c/ Comissões (R$)]]+Materiais[[#This Row],[Tributos
(R$)]]</f>
        <v>0</v>
      </c>
      <c r="T104" s="185"/>
      <c r="U104" s="186">
        <f ca="1">IF(Materiais[[#This Row],[Data Update]] = "",0,IF(_xlfn.DAYS(NOW(),Materiais[[#This Row],[Data Update]])&lt;=0,0,_xlfn.DAYS(NOW(),Materiais[[#This Row],[Data Update]])))</f>
        <v>0</v>
      </c>
    </row>
    <row r="105" spans="1:21" x14ac:dyDescent="0.2">
      <c r="A105" s="46"/>
      <c r="B105" s="46"/>
      <c r="C105" s="46"/>
      <c r="D105" s="46"/>
      <c r="E105" s="46"/>
      <c r="F105" s="138"/>
      <c r="G105" s="129"/>
      <c r="H105" s="180"/>
      <c r="I105" s="5">
        <f>(Materiais[[#This Row],[Qtde.]]*Materiais[[#This Row],[Custo Unitário
Sem Tributos (R$)]])</f>
        <v>0</v>
      </c>
      <c r="J105" s="92">
        <v>0</v>
      </c>
      <c r="K105" s="140">
        <f>Materiais[[#This Row],[Custo Total
Sem Tributos (R$)]]*Materiais[[#This Row],[IPI
(%)]]+Materiais[[#This Row],[Custo Total
Sem Tributos (R$)]]</f>
        <v>0</v>
      </c>
      <c r="L105" s="92">
        <v>0.1</v>
      </c>
      <c r="M105" s="76">
        <f>Materiais[[#This Row],[Custo Total
Com IPI (R$)]]/(1-Materiais[[#This Row],[Margem
(%)]])</f>
        <v>0</v>
      </c>
      <c r="N105" s="16">
        <f>Materiais[[#This Row],[Valor Venda c/ Potencial Desconto  em Material (R$)]]-Materiais[[#This Row],[Custo Total
Com IPI (R$)]]</f>
        <v>0</v>
      </c>
      <c r="O105" s="93">
        <f>Materiais[[#This Row],[Valor Total
Com Margem
Sem Tributos   (R$)]]/(1-('Valores Finais'!$C$10))</f>
        <v>0</v>
      </c>
      <c r="P105" s="93">
        <f>Materiais[[#This Row],[Valor Venda c/ Potencial Desconto  em Material (R$)]]/(1-('Valores Finais'!$B$6))</f>
        <v>0</v>
      </c>
      <c r="Q105" s="84">
        <f>'Valores Finais'!$B$10</f>
        <v>0.12</v>
      </c>
      <c r="R105" s="76">
        <f>Materiais[[#This Row],[Valor Venda c/ Comissões (R$)]]/(1-Materiais[[#This Row],[Tributos
(%)]])-Materiais[[#This Row],[Valor Venda c/ Comissões (R$)]]</f>
        <v>0</v>
      </c>
      <c r="S105" s="76">
        <f>Materiais[[#This Row],[Valor Venda c/ Comissões (R$)]]+Materiais[[#This Row],[Tributos
(R$)]]</f>
        <v>0</v>
      </c>
      <c r="T105" s="185"/>
      <c r="U105" s="186">
        <f ca="1">IF(Materiais[[#This Row],[Data Update]] = "",0,IF(_xlfn.DAYS(NOW(),Materiais[[#This Row],[Data Update]])&lt;=0,0,_xlfn.DAYS(NOW(),Materiais[[#This Row],[Data Update]])))</f>
        <v>0</v>
      </c>
    </row>
    <row r="106" spans="1:21" x14ac:dyDescent="0.2">
      <c r="A106" s="46"/>
      <c r="B106" s="46"/>
      <c r="C106" s="46"/>
      <c r="D106" s="46"/>
      <c r="E106" s="46"/>
      <c r="F106" s="138"/>
      <c r="G106" s="129"/>
      <c r="H106" s="180"/>
      <c r="I106" s="5">
        <f>(Materiais[[#This Row],[Qtde.]]*Materiais[[#This Row],[Custo Unitário
Sem Tributos (R$)]])</f>
        <v>0</v>
      </c>
      <c r="J106" s="92">
        <v>0</v>
      </c>
      <c r="K106" s="140">
        <f>Materiais[[#This Row],[Custo Total
Sem Tributos (R$)]]*Materiais[[#This Row],[IPI
(%)]]+Materiais[[#This Row],[Custo Total
Sem Tributos (R$)]]</f>
        <v>0</v>
      </c>
      <c r="L106" s="92">
        <v>0.1</v>
      </c>
      <c r="M106" s="76">
        <f>Materiais[[#This Row],[Custo Total
Com IPI (R$)]]/(1-Materiais[[#This Row],[Margem
(%)]])</f>
        <v>0</v>
      </c>
      <c r="N106" s="16">
        <f>Materiais[[#This Row],[Valor Venda c/ Potencial Desconto  em Material (R$)]]-Materiais[[#This Row],[Custo Total
Com IPI (R$)]]</f>
        <v>0</v>
      </c>
      <c r="O106" s="93">
        <f>Materiais[[#This Row],[Valor Total
Com Margem
Sem Tributos   (R$)]]/(1-('Valores Finais'!$C$10))</f>
        <v>0</v>
      </c>
      <c r="P106" s="93">
        <f>Materiais[[#This Row],[Valor Venda c/ Potencial Desconto  em Material (R$)]]/(1-('Valores Finais'!$B$6))</f>
        <v>0</v>
      </c>
      <c r="Q106" s="84">
        <f>'Valores Finais'!$B$10</f>
        <v>0.12</v>
      </c>
      <c r="R106" s="76">
        <f>Materiais[[#This Row],[Valor Venda c/ Comissões (R$)]]/(1-Materiais[[#This Row],[Tributos
(%)]])-Materiais[[#This Row],[Valor Venda c/ Comissões (R$)]]</f>
        <v>0</v>
      </c>
      <c r="S106" s="76">
        <f>Materiais[[#This Row],[Valor Venda c/ Comissões (R$)]]+Materiais[[#This Row],[Tributos
(R$)]]</f>
        <v>0</v>
      </c>
      <c r="T106" s="185"/>
      <c r="U106" s="186">
        <f ca="1">IF(Materiais[[#This Row],[Data Update]] = "",0,IF(_xlfn.DAYS(NOW(),Materiais[[#This Row],[Data Update]])&lt;=0,0,_xlfn.DAYS(NOW(),Materiais[[#This Row],[Data Update]])))</f>
        <v>0</v>
      </c>
    </row>
    <row r="107" spans="1:21" x14ac:dyDescent="0.2">
      <c r="A107" s="46"/>
      <c r="B107" s="46"/>
      <c r="C107" s="46"/>
      <c r="D107" s="46"/>
      <c r="E107" s="46"/>
      <c r="F107" s="138"/>
      <c r="G107" s="129"/>
      <c r="H107" s="180"/>
      <c r="I107" s="5">
        <f>(Materiais[[#This Row],[Qtde.]]*Materiais[[#This Row],[Custo Unitário
Sem Tributos (R$)]])</f>
        <v>0</v>
      </c>
      <c r="J107" s="92">
        <v>0</v>
      </c>
      <c r="K107" s="140">
        <f>Materiais[[#This Row],[Custo Total
Sem Tributos (R$)]]*Materiais[[#This Row],[IPI
(%)]]+Materiais[[#This Row],[Custo Total
Sem Tributos (R$)]]</f>
        <v>0</v>
      </c>
      <c r="L107" s="92">
        <v>0.1</v>
      </c>
      <c r="M107" s="76">
        <f>Materiais[[#This Row],[Custo Total
Com IPI (R$)]]/(1-Materiais[[#This Row],[Margem
(%)]])</f>
        <v>0</v>
      </c>
      <c r="N107" s="16">
        <f>Materiais[[#This Row],[Valor Venda c/ Potencial Desconto  em Material (R$)]]-Materiais[[#This Row],[Custo Total
Com IPI (R$)]]</f>
        <v>0</v>
      </c>
      <c r="O107" s="93">
        <f>Materiais[[#This Row],[Valor Total
Com Margem
Sem Tributos   (R$)]]/(1-('Valores Finais'!$C$10))</f>
        <v>0</v>
      </c>
      <c r="P107" s="93">
        <f>Materiais[[#This Row],[Valor Venda c/ Potencial Desconto  em Material (R$)]]/(1-('Valores Finais'!$B$6))</f>
        <v>0</v>
      </c>
      <c r="Q107" s="84">
        <f>'Valores Finais'!$B$10</f>
        <v>0.12</v>
      </c>
      <c r="R107" s="76">
        <f>Materiais[[#This Row],[Valor Venda c/ Comissões (R$)]]/(1-Materiais[[#This Row],[Tributos
(%)]])-Materiais[[#This Row],[Valor Venda c/ Comissões (R$)]]</f>
        <v>0</v>
      </c>
      <c r="S107" s="76">
        <f>Materiais[[#This Row],[Valor Venda c/ Comissões (R$)]]+Materiais[[#This Row],[Tributos
(R$)]]</f>
        <v>0</v>
      </c>
      <c r="T107" s="185"/>
      <c r="U107" s="186">
        <f ca="1">IF(Materiais[[#This Row],[Data Update]] = "",0,IF(_xlfn.DAYS(NOW(),Materiais[[#This Row],[Data Update]])&lt;=0,0,_xlfn.DAYS(NOW(),Materiais[[#This Row],[Data Update]])))</f>
        <v>0</v>
      </c>
    </row>
    <row r="108" spans="1:21" x14ac:dyDescent="0.2">
      <c r="A108" s="46"/>
      <c r="B108" s="46"/>
      <c r="C108" s="46"/>
      <c r="D108" s="46"/>
      <c r="E108" s="46"/>
      <c r="F108" s="138"/>
      <c r="G108" s="129"/>
      <c r="H108" s="180"/>
      <c r="I108" s="5">
        <f>(Materiais[[#This Row],[Qtde.]]*Materiais[[#This Row],[Custo Unitário
Sem Tributos (R$)]])</f>
        <v>0</v>
      </c>
      <c r="J108" s="92">
        <v>0</v>
      </c>
      <c r="K108" s="140">
        <f>Materiais[[#This Row],[Custo Total
Sem Tributos (R$)]]*Materiais[[#This Row],[IPI
(%)]]+Materiais[[#This Row],[Custo Total
Sem Tributos (R$)]]</f>
        <v>0</v>
      </c>
      <c r="L108" s="92">
        <v>0.1</v>
      </c>
      <c r="M108" s="76">
        <f>Materiais[[#This Row],[Custo Total
Com IPI (R$)]]/(1-Materiais[[#This Row],[Margem
(%)]])</f>
        <v>0</v>
      </c>
      <c r="N108" s="16">
        <f>Materiais[[#This Row],[Valor Venda c/ Potencial Desconto  em Material (R$)]]-Materiais[[#This Row],[Custo Total
Com IPI (R$)]]</f>
        <v>0</v>
      </c>
      <c r="O108" s="93">
        <f>Materiais[[#This Row],[Valor Total
Com Margem
Sem Tributos   (R$)]]/(1-('Valores Finais'!$C$10))</f>
        <v>0</v>
      </c>
      <c r="P108" s="93">
        <f>Materiais[[#This Row],[Valor Venda c/ Potencial Desconto  em Material (R$)]]/(1-('Valores Finais'!$B$6))</f>
        <v>0</v>
      </c>
      <c r="Q108" s="84">
        <f>'Valores Finais'!$B$10</f>
        <v>0.12</v>
      </c>
      <c r="R108" s="76">
        <f>Materiais[[#This Row],[Valor Venda c/ Comissões (R$)]]/(1-Materiais[[#This Row],[Tributos
(%)]])-Materiais[[#This Row],[Valor Venda c/ Comissões (R$)]]</f>
        <v>0</v>
      </c>
      <c r="S108" s="76">
        <f>Materiais[[#This Row],[Valor Venda c/ Comissões (R$)]]+Materiais[[#This Row],[Tributos
(R$)]]</f>
        <v>0</v>
      </c>
      <c r="T108" s="185"/>
      <c r="U108" s="186">
        <f ca="1">IF(Materiais[[#This Row],[Data Update]] = "",0,IF(_xlfn.DAYS(NOW(),Materiais[[#This Row],[Data Update]])&lt;=0,0,_xlfn.DAYS(NOW(),Materiais[[#This Row],[Data Update]])))</f>
        <v>0</v>
      </c>
    </row>
    <row r="109" spans="1:21" x14ac:dyDescent="0.2">
      <c r="A109" s="46"/>
      <c r="B109" s="46"/>
      <c r="C109" s="46"/>
      <c r="D109" s="46"/>
      <c r="E109" s="46"/>
      <c r="F109" s="138"/>
      <c r="G109" s="129"/>
      <c r="H109" s="180"/>
      <c r="I109" s="5">
        <f>(Materiais[[#This Row],[Qtde.]]*Materiais[[#This Row],[Custo Unitário
Sem Tributos (R$)]])</f>
        <v>0</v>
      </c>
      <c r="J109" s="92">
        <v>0</v>
      </c>
      <c r="K109" s="140">
        <f>Materiais[[#This Row],[Custo Total
Sem Tributos (R$)]]*Materiais[[#This Row],[IPI
(%)]]+Materiais[[#This Row],[Custo Total
Sem Tributos (R$)]]</f>
        <v>0</v>
      </c>
      <c r="L109" s="92">
        <v>0.1</v>
      </c>
      <c r="M109" s="76">
        <f>Materiais[[#This Row],[Custo Total
Com IPI (R$)]]/(1-Materiais[[#This Row],[Margem
(%)]])</f>
        <v>0</v>
      </c>
      <c r="N109" s="16">
        <f>Materiais[[#This Row],[Valor Venda c/ Potencial Desconto  em Material (R$)]]-Materiais[[#This Row],[Custo Total
Com IPI (R$)]]</f>
        <v>0</v>
      </c>
      <c r="O109" s="93">
        <f>Materiais[[#This Row],[Valor Total
Com Margem
Sem Tributos   (R$)]]/(1-('Valores Finais'!$C$10))</f>
        <v>0</v>
      </c>
      <c r="P109" s="93">
        <f>Materiais[[#This Row],[Valor Venda c/ Potencial Desconto  em Material (R$)]]/(1-('Valores Finais'!$B$6))</f>
        <v>0</v>
      </c>
      <c r="Q109" s="84">
        <f>'Valores Finais'!$B$10</f>
        <v>0.12</v>
      </c>
      <c r="R109" s="76">
        <f>Materiais[[#This Row],[Valor Venda c/ Comissões (R$)]]/(1-Materiais[[#This Row],[Tributos
(%)]])-Materiais[[#This Row],[Valor Venda c/ Comissões (R$)]]</f>
        <v>0</v>
      </c>
      <c r="S109" s="76">
        <f>Materiais[[#This Row],[Valor Venda c/ Comissões (R$)]]+Materiais[[#This Row],[Tributos
(R$)]]</f>
        <v>0</v>
      </c>
      <c r="T109" s="185"/>
      <c r="U109" s="186">
        <f ca="1">IF(Materiais[[#This Row],[Data Update]] = "",0,IF(_xlfn.DAYS(NOW(),Materiais[[#This Row],[Data Update]])&lt;=0,0,_xlfn.DAYS(NOW(),Materiais[[#This Row],[Data Update]])))</f>
        <v>0</v>
      </c>
    </row>
    <row r="110" spans="1:21" x14ac:dyDescent="0.2">
      <c r="A110" s="46"/>
      <c r="B110" s="46"/>
      <c r="C110" s="46"/>
      <c r="D110" s="46"/>
      <c r="E110" s="46"/>
      <c r="F110" s="138"/>
      <c r="G110" s="129"/>
      <c r="H110" s="180"/>
      <c r="I110" s="5">
        <f>(Materiais[[#This Row],[Qtde.]]*Materiais[[#This Row],[Custo Unitário
Sem Tributos (R$)]])</f>
        <v>0</v>
      </c>
      <c r="J110" s="92">
        <v>0</v>
      </c>
      <c r="K110" s="140">
        <f>Materiais[[#This Row],[Custo Total
Sem Tributos (R$)]]*Materiais[[#This Row],[IPI
(%)]]+Materiais[[#This Row],[Custo Total
Sem Tributos (R$)]]</f>
        <v>0</v>
      </c>
      <c r="L110" s="92">
        <v>0.1</v>
      </c>
      <c r="M110" s="76">
        <f>Materiais[[#This Row],[Custo Total
Com IPI (R$)]]/(1-Materiais[[#This Row],[Margem
(%)]])</f>
        <v>0</v>
      </c>
      <c r="N110" s="16">
        <f>Materiais[[#This Row],[Valor Venda c/ Potencial Desconto  em Material (R$)]]-Materiais[[#This Row],[Custo Total
Com IPI (R$)]]</f>
        <v>0</v>
      </c>
      <c r="O110" s="93">
        <f>Materiais[[#This Row],[Valor Total
Com Margem
Sem Tributos   (R$)]]/(1-('Valores Finais'!$C$10))</f>
        <v>0</v>
      </c>
      <c r="P110" s="93">
        <f>Materiais[[#This Row],[Valor Venda c/ Potencial Desconto  em Material (R$)]]/(1-('Valores Finais'!$B$6))</f>
        <v>0</v>
      </c>
      <c r="Q110" s="84">
        <f>'Valores Finais'!$B$10</f>
        <v>0.12</v>
      </c>
      <c r="R110" s="76">
        <f>Materiais[[#This Row],[Valor Venda c/ Comissões (R$)]]/(1-Materiais[[#This Row],[Tributos
(%)]])-Materiais[[#This Row],[Valor Venda c/ Comissões (R$)]]</f>
        <v>0</v>
      </c>
      <c r="S110" s="76">
        <f>Materiais[[#This Row],[Valor Venda c/ Comissões (R$)]]+Materiais[[#This Row],[Tributos
(R$)]]</f>
        <v>0</v>
      </c>
      <c r="T110" s="185"/>
      <c r="U110" s="186">
        <f ca="1">IF(Materiais[[#This Row],[Data Update]] = "",0,IF(_xlfn.DAYS(NOW(),Materiais[[#This Row],[Data Update]])&lt;=0,0,_xlfn.DAYS(NOW(),Materiais[[#This Row],[Data Update]])))</f>
        <v>0</v>
      </c>
    </row>
    <row r="111" spans="1:21" x14ac:dyDescent="0.2">
      <c r="A111" s="46"/>
      <c r="B111" s="46"/>
      <c r="C111" s="46"/>
      <c r="D111" s="46"/>
      <c r="E111" s="46"/>
      <c r="F111" s="138"/>
      <c r="G111" s="129"/>
      <c r="H111" s="180"/>
      <c r="I111" s="5">
        <f>(Materiais[[#This Row],[Qtde.]]*Materiais[[#This Row],[Custo Unitário
Sem Tributos (R$)]])</f>
        <v>0</v>
      </c>
      <c r="J111" s="92">
        <v>0</v>
      </c>
      <c r="K111" s="140">
        <f>Materiais[[#This Row],[Custo Total
Sem Tributos (R$)]]*Materiais[[#This Row],[IPI
(%)]]+Materiais[[#This Row],[Custo Total
Sem Tributos (R$)]]</f>
        <v>0</v>
      </c>
      <c r="L111" s="92">
        <v>0.1</v>
      </c>
      <c r="M111" s="76">
        <f>Materiais[[#This Row],[Custo Total
Com IPI (R$)]]/(1-Materiais[[#This Row],[Margem
(%)]])</f>
        <v>0</v>
      </c>
      <c r="N111" s="16">
        <f>Materiais[[#This Row],[Valor Venda c/ Potencial Desconto  em Material (R$)]]-Materiais[[#This Row],[Custo Total
Com IPI (R$)]]</f>
        <v>0</v>
      </c>
      <c r="O111" s="93">
        <f>Materiais[[#This Row],[Valor Total
Com Margem
Sem Tributos   (R$)]]/(1-('Valores Finais'!$C$10))</f>
        <v>0</v>
      </c>
      <c r="P111" s="93">
        <f>Materiais[[#This Row],[Valor Venda c/ Potencial Desconto  em Material (R$)]]/(1-('Valores Finais'!$B$6))</f>
        <v>0</v>
      </c>
      <c r="Q111" s="84">
        <f>'Valores Finais'!$B$10</f>
        <v>0.12</v>
      </c>
      <c r="R111" s="76">
        <f>Materiais[[#This Row],[Valor Venda c/ Comissões (R$)]]/(1-Materiais[[#This Row],[Tributos
(%)]])-Materiais[[#This Row],[Valor Venda c/ Comissões (R$)]]</f>
        <v>0</v>
      </c>
      <c r="S111" s="76">
        <f>Materiais[[#This Row],[Valor Venda c/ Comissões (R$)]]+Materiais[[#This Row],[Tributos
(R$)]]</f>
        <v>0</v>
      </c>
      <c r="T111" s="185"/>
      <c r="U111" s="186">
        <f ca="1">IF(Materiais[[#This Row],[Data Update]] = "",0,IF(_xlfn.DAYS(NOW(),Materiais[[#This Row],[Data Update]])&lt;=0,0,_xlfn.DAYS(NOW(),Materiais[[#This Row],[Data Update]])))</f>
        <v>0</v>
      </c>
    </row>
    <row r="112" spans="1:21" x14ac:dyDescent="0.2">
      <c r="A112" s="46"/>
      <c r="B112" s="46"/>
      <c r="C112" s="46"/>
      <c r="D112" s="46"/>
      <c r="E112" s="46"/>
      <c r="F112" s="138"/>
      <c r="G112" s="129"/>
      <c r="H112" s="180"/>
      <c r="I112" s="5">
        <f>(Materiais[[#This Row],[Qtde.]]*Materiais[[#This Row],[Custo Unitário
Sem Tributos (R$)]])</f>
        <v>0</v>
      </c>
      <c r="J112" s="92">
        <v>0</v>
      </c>
      <c r="K112" s="140">
        <f>Materiais[[#This Row],[Custo Total
Sem Tributos (R$)]]*Materiais[[#This Row],[IPI
(%)]]+Materiais[[#This Row],[Custo Total
Sem Tributos (R$)]]</f>
        <v>0</v>
      </c>
      <c r="L112" s="92">
        <v>0.1</v>
      </c>
      <c r="M112" s="76">
        <f>Materiais[[#This Row],[Custo Total
Com IPI (R$)]]/(1-Materiais[[#This Row],[Margem
(%)]])</f>
        <v>0</v>
      </c>
      <c r="N112" s="16">
        <f>Materiais[[#This Row],[Valor Venda c/ Potencial Desconto  em Material (R$)]]-Materiais[[#This Row],[Custo Total
Com IPI (R$)]]</f>
        <v>0</v>
      </c>
      <c r="O112" s="93">
        <f>Materiais[[#This Row],[Valor Total
Com Margem
Sem Tributos   (R$)]]/(1-('Valores Finais'!$C$10))</f>
        <v>0</v>
      </c>
      <c r="P112" s="93">
        <f>Materiais[[#This Row],[Valor Venda c/ Potencial Desconto  em Material (R$)]]/(1-('Valores Finais'!$B$6))</f>
        <v>0</v>
      </c>
      <c r="Q112" s="84">
        <f>'Valores Finais'!$B$10</f>
        <v>0.12</v>
      </c>
      <c r="R112" s="76">
        <f>Materiais[[#This Row],[Valor Venda c/ Comissões (R$)]]/(1-Materiais[[#This Row],[Tributos
(%)]])-Materiais[[#This Row],[Valor Venda c/ Comissões (R$)]]</f>
        <v>0</v>
      </c>
      <c r="S112" s="76">
        <f>Materiais[[#This Row],[Valor Venda c/ Comissões (R$)]]+Materiais[[#This Row],[Tributos
(R$)]]</f>
        <v>0</v>
      </c>
      <c r="T112" s="185"/>
      <c r="U112" s="186">
        <f ca="1">IF(Materiais[[#This Row],[Data Update]] = "",0,IF(_xlfn.DAYS(NOW(),Materiais[[#This Row],[Data Update]])&lt;=0,0,_xlfn.DAYS(NOW(),Materiais[[#This Row],[Data Update]])))</f>
        <v>0</v>
      </c>
    </row>
    <row r="113" spans="1:21" x14ac:dyDescent="0.2">
      <c r="A113" s="46"/>
      <c r="B113" s="46"/>
      <c r="C113" s="46"/>
      <c r="D113" s="46"/>
      <c r="E113" s="46"/>
      <c r="F113" s="138"/>
      <c r="G113" s="129"/>
      <c r="H113" s="180"/>
      <c r="I113" s="5">
        <f>(Materiais[[#This Row],[Qtde.]]*Materiais[[#This Row],[Custo Unitário
Sem Tributos (R$)]])</f>
        <v>0</v>
      </c>
      <c r="J113" s="92">
        <v>0</v>
      </c>
      <c r="K113" s="140">
        <f>Materiais[[#This Row],[Custo Total
Sem Tributos (R$)]]*Materiais[[#This Row],[IPI
(%)]]+Materiais[[#This Row],[Custo Total
Sem Tributos (R$)]]</f>
        <v>0</v>
      </c>
      <c r="L113" s="92">
        <v>0.1</v>
      </c>
      <c r="M113" s="76">
        <f>Materiais[[#This Row],[Custo Total
Com IPI (R$)]]/(1-Materiais[[#This Row],[Margem
(%)]])</f>
        <v>0</v>
      </c>
      <c r="N113" s="16">
        <f>Materiais[[#This Row],[Valor Venda c/ Potencial Desconto  em Material (R$)]]-Materiais[[#This Row],[Custo Total
Com IPI (R$)]]</f>
        <v>0</v>
      </c>
      <c r="O113" s="93">
        <f>Materiais[[#This Row],[Valor Total
Com Margem
Sem Tributos   (R$)]]/(1-('Valores Finais'!$C$10))</f>
        <v>0</v>
      </c>
      <c r="P113" s="93">
        <f>Materiais[[#This Row],[Valor Venda c/ Potencial Desconto  em Material (R$)]]/(1-('Valores Finais'!$B$6))</f>
        <v>0</v>
      </c>
      <c r="Q113" s="84">
        <f>'Valores Finais'!$B$10</f>
        <v>0.12</v>
      </c>
      <c r="R113" s="76">
        <f>Materiais[[#This Row],[Valor Venda c/ Comissões (R$)]]/(1-Materiais[[#This Row],[Tributos
(%)]])-Materiais[[#This Row],[Valor Venda c/ Comissões (R$)]]</f>
        <v>0</v>
      </c>
      <c r="S113" s="76">
        <f>Materiais[[#This Row],[Valor Venda c/ Comissões (R$)]]+Materiais[[#This Row],[Tributos
(R$)]]</f>
        <v>0</v>
      </c>
      <c r="T113" s="185"/>
      <c r="U113" s="186">
        <f ca="1">IF(Materiais[[#This Row],[Data Update]] = "",0,IF(_xlfn.DAYS(NOW(),Materiais[[#This Row],[Data Update]])&lt;=0,0,_xlfn.DAYS(NOW(),Materiais[[#This Row],[Data Update]])))</f>
        <v>0</v>
      </c>
    </row>
    <row r="114" spans="1:21" x14ac:dyDescent="0.2">
      <c r="A114" s="46"/>
      <c r="B114" s="46"/>
      <c r="C114" s="46"/>
      <c r="D114" s="46"/>
      <c r="E114" s="46"/>
      <c r="F114" s="138"/>
      <c r="G114" s="129"/>
      <c r="H114" s="180"/>
      <c r="I114" s="5">
        <f>(Materiais[[#This Row],[Qtde.]]*Materiais[[#This Row],[Custo Unitário
Sem Tributos (R$)]])</f>
        <v>0</v>
      </c>
      <c r="J114" s="92">
        <v>0</v>
      </c>
      <c r="K114" s="140">
        <f>Materiais[[#This Row],[Custo Total
Sem Tributos (R$)]]*Materiais[[#This Row],[IPI
(%)]]+Materiais[[#This Row],[Custo Total
Sem Tributos (R$)]]</f>
        <v>0</v>
      </c>
      <c r="L114" s="92">
        <v>0.1</v>
      </c>
      <c r="M114" s="76">
        <f>Materiais[[#This Row],[Custo Total
Com IPI (R$)]]/(1-Materiais[[#This Row],[Margem
(%)]])</f>
        <v>0</v>
      </c>
      <c r="N114" s="16">
        <f>Materiais[[#This Row],[Valor Venda c/ Potencial Desconto  em Material (R$)]]-Materiais[[#This Row],[Custo Total
Com IPI (R$)]]</f>
        <v>0</v>
      </c>
      <c r="O114" s="93">
        <f>Materiais[[#This Row],[Valor Total
Com Margem
Sem Tributos   (R$)]]/(1-('Valores Finais'!$C$10))</f>
        <v>0</v>
      </c>
      <c r="P114" s="93">
        <f>Materiais[[#This Row],[Valor Venda c/ Potencial Desconto  em Material (R$)]]/(1-('Valores Finais'!$B$6))</f>
        <v>0</v>
      </c>
      <c r="Q114" s="84">
        <f>'Valores Finais'!$B$10</f>
        <v>0.12</v>
      </c>
      <c r="R114" s="76">
        <f>Materiais[[#This Row],[Valor Venda c/ Comissões (R$)]]/(1-Materiais[[#This Row],[Tributos
(%)]])-Materiais[[#This Row],[Valor Venda c/ Comissões (R$)]]</f>
        <v>0</v>
      </c>
      <c r="S114" s="76">
        <f>Materiais[[#This Row],[Valor Venda c/ Comissões (R$)]]+Materiais[[#This Row],[Tributos
(R$)]]</f>
        <v>0</v>
      </c>
      <c r="T114" s="185"/>
      <c r="U114" s="186">
        <f ca="1">IF(Materiais[[#This Row],[Data Update]] = "",0,IF(_xlfn.DAYS(NOW(),Materiais[[#This Row],[Data Update]])&lt;=0,0,_xlfn.DAYS(NOW(),Materiais[[#This Row],[Data Update]])))</f>
        <v>0</v>
      </c>
    </row>
    <row r="115" spans="1:21" x14ac:dyDescent="0.2">
      <c r="A115" s="46"/>
      <c r="B115" s="46"/>
      <c r="C115" s="46"/>
      <c r="D115" s="46"/>
      <c r="E115" s="46"/>
      <c r="F115" s="138"/>
      <c r="G115" s="129"/>
      <c r="H115" s="180"/>
      <c r="I115" s="5">
        <f>(Materiais[[#This Row],[Qtde.]]*Materiais[[#This Row],[Custo Unitário
Sem Tributos (R$)]])</f>
        <v>0</v>
      </c>
      <c r="J115" s="92">
        <v>0</v>
      </c>
      <c r="K115" s="140">
        <f>Materiais[[#This Row],[Custo Total
Sem Tributos (R$)]]*Materiais[[#This Row],[IPI
(%)]]+Materiais[[#This Row],[Custo Total
Sem Tributos (R$)]]</f>
        <v>0</v>
      </c>
      <c r="L115" s="92">
        <v>0.1</v>
      </c>
      <c r="M115" s="76">
        <f>Materiais[[#This Row],[Custo Total
Com IPI (R$)]]/(1-Materiais[[#This Row],[Margem
(%)]])</f>
        <v>0</v>
      </c>
      <c r="N115" s="16">
        <f>Materiais[[#This Row],[Valor Venda c/ Potencial Desconto  em Material (R$)]]-Materiais[[#This Row],[Custo Total
Com IPI (R$)]]</f>
        <v>0</v>
      </c>
      <c r="O115" s="93">
        <f>Materiais[[#This Row],[Valor Total
Com Margem
Sem Tributos   (R$)]]/(1-('Valores Finais'!$C$10))</f>
        <v>0</v>
      </c>
      <c r="P115" s="93">
        <f>Materiais[[#This Row],[Valor Venda c/ Potencial Desconto  em Material (R$)]]/(1-('Valores Finais'!$B$6))</f>
        <v>0</v>
      </c>
      <c r="Q115" s="84">
        <f>'Valores Finais'!$B$10</f>
        <v>0.12</v>
      </c>
      <c r="R115" s="76">
        <f>Materiais[[#This Row],[Valor Venda c/ Comissões (R$)]]/(1-Materiais[[#This Row],[Tributos
(%)]])-Materiais[[#This Row],[Valor Venda c/ Comissões (R$)]]</f>
        <v>0</v>
      </c>
      <c r="S115" s="76">
        <f>Materiais[[#This Row],[Valor Venda c/ Comissões (R$)]]+Materiais[[#This Row],[Tributos
(R$)]]</f>
        <v>0</v>
      </c>
      <c r="T115" s="185"/>
      <c r="U115" s="186">
        <f ca="1">IF(Materiais[[#This Row],[Data Update]] = "",0,IF(_xlfn.DAYS(NOW(),Materiais[[#This Row],[Data Update]])&lt;=0,0,_xlfn.DAYS(NOW(),Materiais[[#This Row],[Data Update]])))</f>
        <v>0</v>
      </c>
    </row>
    <row r="116" spans="1:21" x14ac:dyDescent="0.2">
      <c r="A116" s="46"/>
      <c r="B116" s="46"/>
      <c r="C116" s="46"/>
      <c r="D116" s="46"/>
      <c r="E116" s="46"/>
      <c r="F116" s="138"/>
      <c r="G116" s="129"/>
      <c r="H116" s="180"/>
      <c r="I116" s="5">
        <f>(Materiais[[#This Row],[Qtde.]]*Materiais[[#This Row],[Custo Unitário
Sem Tributos (R$)]])</f>
        <v>0</v>
      </c>
      <c r="J116" s="92">
        <v>0</v>
      </c>
      <c r="K116" s="140">
        <f>Materiais[[#This Row],[Custo Total
Sem Tributos (R$)]]*Materiais[[#This Row],[IPI
(%)]]+Materiais[[#This Row],[Custo Total
Sem Tributos (R$)]]</f>
        <v>0</v>
      </c>
      <c r="L116" s="92">
        <v>0.1</v>
      </c>
      <c r="M116" s="76">
        <f>Materiais[[#This Row],[Custo Total
Com IPI (R$)]]/(1-Materiais[[#This Row],[Margem
(%)]])</f>
        <v>0</v>
      </c>
      <c r="N116" s="16">
        <f>Materiais[[#This Row],[Valor Venda c/ Potencial Desconto  em Material (R$)]]-Materiais[[#This Row],[Custo Total
Com IPI (R$)]]</f>
        <v>0</v>
      </c>
      <c r="O116" s="93">
        <f>Materiais[[#This Row],[Valor Total
Com Margem
Sem Tributos   (R$)]]/(1-('Valores Finais'!$C$10))</f>
        <v>0</v>
      </c>
      <c r="P116" s="93">
        <f>Materiais[[#This Row],[Valor Venda c/ Potencial Desconto  em Material (R$)]]/(1-('Valores Finais'!$B$6))</f>
        <v>0</v>
      </c>
      <c r="Q116" s="84">
        <f>'Valores Finais'!$B$10</f>
        <v>0.12</v>
      </c>
      <c r="R116" s="76">
        <f>Materiais[[#This Row],[Valor Venda c/ Comissões (R$)]]/(1-Materiais[[#This Row],[Tributos
(%)]])-Materiais[[#This Row],[Valor Venda c/ Comissões (R$)]]</f>
        <v>0</v>
      </c>
      <c r="S116" s="76">
        <f>Materiais[[#This Row],[Valor Venda c/ Comissões (R$)]]+Materiais[[#This Row],[Tributos
(R$)]]</f>
        <v>0</v>
      </c>
      <c r="T116" s="185"/>
      <c r="U116" s="186">
        <f ca="1">IF(Materiais[[#This Row],[Data Update]] = "",0,IF(_xlfn.DAYS(NOW(),Materiais[[#This Row],[Data Update]])&lt;=0,0,_xlfn.DAYS(NOW(),Materiais[[#This Row],[Data Update]])))</f>
        <v>0</v>
      </c>
    </row>
    <row r="117" spans="1:21" x14ac:dyDescent="0.2">
      <c r="A117" s="46"/>
      <c r="B117" s="46"/>
      <c r="C117" s="46"/>
      <c r="D117" s="46"/>
      <c r="E117" s="46"/>
      <c r="F117" s="138"/>
      <c r="G117" s="129"/>
      <c r="H117" s="180"/>
      <c r="I117" s="5">
        <f>(Materiais[[#This Row],[Qtde.]]*Materiais[[#This Row],[Custo Unitário
Sem Tributos (R$)]])</f>
        <v>0</v>
      </c>
      <c r="J117" s="92">
        <v>0</v>
      </c>
      <c r="K117" s="140">
        <f>Materiais[[#This Row],[Custo Total
Sem Tributos (R$)]]*Materiais[[#This Row],[IPI
(%)]]+Materiais[[#This Row],[Custo Total
Sem Tributos (R$)]]</f>
        <v>0</v>
      </c>
      <c r="L117" s="92">
        <v>0.1</v>
      </c>
      <c r="M117" s="76">
        <f>Materiais[[#This Row],[Custo Total
Com IPI (R$)]]/(1-Materiais[[#This Row],[Margem
(%)]])</f>
        <v>0</v>
      </c>
      <c r="N117" s="16">
        <f>Materiais[[#This Row],[Valor Venda c/ Potencial Desconto  em Material (R$)]]-Materiais[[#This Row],[Custo Total
Com IPI (R$)]]</f>
        <v>0</v>
      </c>
      <c r="O117" s="93">
        <f>Materiais[[#This Row],[Valor Total
Com Margem
Sem Tributos   (R$)]]/(1-('Valores Finais'!$C$10))</f>
        <v>0</v>
      </c>
      <c r="P117" s="93">
        <f>Materiais[[#This Row],[Valor Venda c/ Potencial Desconto  em Material (R$)]]/(1-('Valores Finais'!$B$6))</f>
        <v>0</v>
      </c>
      <c r="Q117" s="84">
        <f>'Valores Finais'!$B$10</f>
        <v>0.12</v>
      </c>
      <c r="R117" s="76">
        <f>Materiais[[#This Row],[Valor Venda c/ Comissões (R$)]]/(1-Materiais[[#This Row],[Tributos
(%)]])-Materiais[[#This Row],[Valor Venda c/ Comissões (R$)]]</f>
        <v>0</v>
      </c>
      <c r="S117" s="76">
        <f>Materiais[[#This Row],[Valor Venda c/ Comissões (R$)]]+Materiais[[#This Row],[Tributos
(R$)]]</f>
        <v>0</v>
      </c>
      <c r="T117" s="185"/>
      <c r="U117" s="186">
        <f ca="1">IF(Materiais[[#This Row],[Data Update]] = "",0,IF(_xlfn.DAYS(NOW(),Materiais[[#This Row],[Data Update]])&lt;=0,0,_xlfn.DAYS(NOW(),Materiais[[#This Row],[Data Update]])))</f>
        <v>0</v>
      </c>
    </row>
    <row r="118" spans="1:21" x14ac:dyDescent="0.2">
      <c r="A118" s="46"/>
      <c r="B118" s="46"/>
      <c r="C118" s="46"/>
      <c r="D118" s="46"/>
      <c r="E118" s="46"/>
      <c r="F118" s="138"/>
      <c r="G118" s="129"/>
      <c r="H118" s="180"/>
      <c r="I118" s="5">
        <f>(Materiais[[#This Row],[Qtde.]]*Materiais[[#This Row],[Custo Unitário
Sem Tributos (R$)]])</f>
        <v>0</v>
      </c>
      <c r="J118" s="92">
        <v>0</v>
      </c>
      <c r="K118" s="140">
        <f>Materiais[[#This Row],[Custo Total
Sem Tributos (R$)]]*Materiais[[#This Row],[IPI
(%)]]+Materiais[[#This Row],[Custo Total
Sem Tributos (R$)]]</f>
        <v>0</v>
      </c>
      <c r="L118" s="92">
        <v>0.1</v>
      </c>
      <c r="M118" s="76">
        <f>Materiais[[#This Row],[Custo Total
Com IPI (R$)]]/(1-Materiais[[#This Row],[Margem
(%)]])</f>
        <v>0</v>
      </c>
      <c r="N118" s="16">
        <f>Materiais[[#This Row],[Valor Venda c/ Potencial Desconto  em Material (R$)]]-Materiais[[#This Row],[Custo Total
Com IPI (R$)]]</f>
        <v>0</v>
      </c>
      <c r="O118" s="93">
        <f>Materiais[[#This Row],[Valor Total
Com Margem
Sem Tributos   (R$)]]/(1-('Valores Finais'!$C$10))</f>
        <v>0</v>
      </c>
      <c r="P118" s="93">
        <f>Materiais[[#This Row],[Valor Venda c/ Potencial Desconto  em Material (R$)]]/(1-('Valores Finais'!$B$6))</f>
        <v>0</v>
      </c>
      <c r="Q118" s="84">
        <f>'Valores Finais'!$B$10</f>
        <v>0.12</v>
      </c>
      <c r="R118" s="76">
        <f>Materiais[[#This Row],[Valor Venda c/ Comissões (R$)]]/(1-Materiais[[#This Row],[Tributos
(%)]])-Materiais[[#This Row],[Valor Venda c/ Comissões (R$)]]</f>
        <v>0</v>
      </c>
      <c r="S118" s="76">
        <f>Materiais[[#This Row],[Valor Venda c/ Comissões (R$)]]+Materiais[[#This Row],[Tributos
(R$)]]</f>
        <v>0</v>
      </c>
      <c r="T118" s="185"/>
      <c r="U118" s="186">
        <f ca="1">IF(Materiais[[#This Row],[Data Update]] = "",0,IF(_xlfn.DAYS(NOW(),Materiais[[#This Row],[Data Update]])&lt;=0,0,_xlfn.DAYS(NOW(),Materiais[[#This Row],[Data Update]])))</f>
        <v>0</v>
      </c>
    </row>
    <row r="119" spans="1:21" x14ac:dyDescent="0.2">
      <c r="A119" s="46"/>
      <c r="B119" s="46"/>
      <c r="C119" s="46"/>
      <c r="D119" s="46"/>
      <c r="E119" s="46"/>
      <c r="F119" s="138"/>
      <c r="G119" s="129"/>
      <c r="H119" s="180"/>
      <c r="I119" s="5">
        <f>(Materiais[[#This Row],[Qtde.]]*Materiais[[#This Row],[Custo Unitário
Sem Tributos (R$)]])</f>
        <v>0</v>
      </c>
      <c r="J119" s="92">
        <v>0</v>
      </c>
      <c r="K119" s="140">
        <f>Materiais[[#This Row],[Custo Total
Sem Tributos (R$)]]*Materiais[[#This Row],[IPI
(%)]]+Materiais[[#This Row],[Custo Total
Sem Tributos (R$)]]</f>
        <v>0</v>
      </c>
      <c r="L119" s="92">
        <v>0.1</v>
      </c>
      <c r="M119" s="76">
        <f>Materiais[[#This Row],[Custo Total
Com IPI (R$)]]/(1-Materiais[[#This Row],[Margem
(%)]])</f>
        <v>0</v>
      </c>
      <c r="N119" s="16">
        <f>Materiais[[#This Row],[Valor Venda c/ Potencial Desconto  em Material (R$)]]-Materiais[[#This Row],[Custo Total
Com IPI (R$)]]</f>
        <v>0</v>
      </c>
      <c r="O119" s="93">
        <f>Materiais[[#This Row],[Valor Total
Com Margem
Sem Tributos   (R$)]]/(1-('Valores Finais'!$C$10))</f>
        <v>0</v>
      </c>
      <c r="P119" s="93">
        <f>Materiais[[#This Row],[Valor Venda c/ Potencial Desconto  em Material (R$)]]/(1-('Valores Finais'!$B$6))</f>
        <v>0</v>
      </c>
      <c r="Q119" s="84">
        <f>'Valores Finais'!$B$10</f>
        <v>0.12</v>
      </c>
      <c r="R119" s="76">
        <f>Materiais[[#This Row],[Valor Venda c/ Comissões (R$)]]/(1-Materiais[[#This Row],[Tributos
(%)]])-Materiais[[#This Row],[Valor Venda c/ Comissões (R$)]]</f>
        <v>0</v>
      </c>
      <c r="S119" s="76">
        <f>Materiais[[#This Row],[Valor Venda c/ Comissões (R$)]]+Materiais[[#This Row],[Tributos
(R$)]]</f>
        <v>0</v>
      </c>
      <c r="T119" s="185"/>
      <c r="U119" s="186">
        <f ca="1">IF(Materiais[[#This Row],[Data Update]] = "",0,IF(_xlfn.DAYS(NOW(),Materiais[[#This Row],[Data Update]])&lt;=0,0,_xlfn.DAYS(NOW(),Materiais[[#This Row],[Data Update]])))</f>
        <v>0</v>
      </c>
    </row>
    <row r="120" spans="1:21" x14ac:dyDescent="0.2">
      <c r="A120" s="46"/>
      <c r="B120" s="46"/>
      <c r="C120" s="46"/>
      <c r="D120" s="46"/>
      <c r="E120" s="46"/>
      <c r="F120" s="138"/>
      <c r="G120" s="129"/>
      <c r="H120" s="180"/>
      <c r="I120" s="5">
        <f>(Materiais[[#This Row],[Qtde.]]*Materiais[[#This Row],[Custo Unitário
Sem Tributos (R$)]])</f>
        <v>0</v>
      </c>
      <c r="J120" s="92">
        <v>0</v>
      </c>
      <c r="K120" s="140">
        <f>Materiais[[#This Row],[Custo Total
Sem Tributos (R$)]]*Materiais[[#This Row],[IPI
(%)]]+Materiais[[#This Row],[Custo Total
Sem Tributos (R$)]]</f>
        <v>0</v>
      </c>
      <c r="L120" s="92">
        <v>0.1</v>
      </c>
      <c r="M120" s="76">
        <f>Materiais[[#This Row],[Custo Total
Com IPI (R$)]]/(1-Materiais[[#This Row],[Margem
(%)]])</f>
        <v>0</v>
      </c>
      <c r="N120" s="16">
        <f>Materiais[[#This Row],[Valor Venda c/ Potencial Desconto  em Material (R$)]]-Materiais[[#This Row],[Custo Total
Com IPI (R$)]]</f>
        <v>0</v>
      </c>
      <c r="O120" s="93">
        <f>Materiais[[#This Row],[Valor Total
Com Margem
Sem Tributos   (R$)]]/(1-('Valores Finais'!$C$10))</f>
        <v>0</v>
      </c>
      <c r="P120" s="93">
        <f>Materiais[[#This Row],[Valor Venda c/ Potencial Desconto  em Material (R$)]]/(1-('Valores Finais'!$B$6))</f>
        <v>0</v>
      </c>
      <c r="Q120" s="84">
        <f>'Valores Finais'!$B$10</f>
        <v>0.12</v>
      </c>
      <c r="R120" s="76">
        <f>Materiais[[#This Row],[Valor Venda c/ Comissões (R$)]]/(1-Materiais[[#This Row],[Tributos
(%)]])-Materiais[[#This Row],[Valor Venda c/ Comissões (R$)]]</f>
        <v>0</v>
      </c>
      <c r="S120" s="76">
        <f>Materiais[[#This Row],[Valor Venda c/ Comissões (R$)]]+Materiais[[#This Row],[Tributos
(R$)]]</f>
        <v>0</v>
      </c>
      <c r="T120" s="185"/>
      <c r="U120" s="186">
        <f ca="1">IF(Materiais[[#This Row],[Data Update]] = "",0,IF(_xlfn.DAYS(NOW(),Materiais[[#This Row],[Data Update]])&lt;=0,0,_xlfn.DAYS(NOW(),Materiais[[#This Row],[Data Update]])))</f>
        <v>0</v>
      </c>
    </row>
    <row r="121" spans="1:21" x14ac:dyDescent="0.2">
      <c r="A121" s="46"/>
      <c r="B121" s="46"/>
      <c r="C121" s="46"/>
      <c r="D121" s="46"/>
      <c r="E121" s="46"/>
      <c r="F121" s="138"/>
      <c r="G121" s="129"/>
      <c r="H121" s="180"/>
      <c r="I121" s="5">
        <f>(Materiais[[#This Row],[Qtde.]]*Materiais[[#This Row],[Custo Unitário
Sem Tributos (R$)]])</f>
        <v>0</v>
      </c>
      <c r="J121" s="92">
        <v>0</v>
      </c>
      <c r="K121" s="140">
        <f>Materiais[[#This Row],[Custo Total
Sem Tributos (R$)]]*Materiais[[#This Row],[IPI
(%)]]+Materiais[[#This Row],[Custo Total
Sem Tributos (R$)]]</f>
        <v>0</v>
      </c>
      <c r="L121" s="92">
        <v>0.1</v>
      </c>
      <c r="M121" s="76">
        <f>Materiais[[#This Row],[Custo Total
Com IPI (R$)]]/(1-Materiais[[#This Row],[Margem
(%)]])</f>
        <v>0</v>
      </c>
      <c r="N121" s="16">
        <f>Materiais[[#This Row],[Valor Venda c/ Potencial Desconto  em Material (R$)]]-Materiais[[#This Row],[Custo Total
Com IPI (R$)]]</f>
        <v>0</v>
      </c>
      <c r="O121" s="93">
        <f>Materiais[[#This Row],[Valor Total
Com Margem
Sem Tributos   (R$)]]/(1-('Valores Finais'!$C$10))</f>
        <v>0</v>
      </c>
      <c r="P121" s="93">
        <f>Materiais[[#This Row],[Valor Venda c/ Potencial Desconto  em Material (R$)]]/(1-('Valores Finais'!$B$6))</f>
        <v>0</v>
      </c>
      <c r="Q121" s="84">
        <f>'Valores Finais'!$B$10</f>
        <v>0.12</v>
      </c>
      <c r="R121" s="76">
        <f>Materiais[[#This Row],[Valor Venda c/ Comissões (R$)]]/(1-Materiais[[#This Row],[Tributos
(%)]])-Materiais[[#This Row],[Valor Venda c/ Comissões (R$)]]</f>
        <v>0</v>
      </c>
      <c r="S121" s="76">
        <f>Materiais[[#This Row],[Valor Venda c/ Comissões (R$)]]+Materiais[[#This Row],[Tributos
(R$)]]</f>
        <v>0</v>
      </c>
      <c r="T121" s="185"/>
      <c r="U121" s="186">
        <f ca="1">IF(Materiais[[#This Row],[Data Update]] = "",0,IF(_xlfn.DAYS(NOW(),Materiais[[#This Row],[Data Update]])&lt;=0,0,_xlfn.DAYS(NOW(),Materiais[[#This Row],[Data Update]])))</f>
        <v>0</v>
      </c>
    </row>
    <row r="122" spans="1:21" x14ac:dyDescent="0.2">
      <c r="A122" s="46"/>
      <c r="B122" s="46"/>
      <c r="C122" s="46"/>
      <c r="D122" s="46"/>
      <c r="E122" s="46"/>
      <c r="F122" s="138"/>
      <c r="G122" s="129"/>
      <c r="H122" s="180"/>
      <c r="I122" s="5">
        <f>(Materiais[[#This Row],[Qtde.]]*Materiais[[#This Row],[Custo Unitário
Sem Tributos (R$)]])</f>
        <v>0</v>
      </c>
      <c r="J122" s="92">
        <v>0</v>
      </c>
      <c r="K122" s="140">
        <f>Materiais[[#This Row],[Custo Total
Sem Tributos (R$)]]*Materiais[[#This Row],[IPI
(%)]]+Materiais[[#This Row],[Custo Total
Sem Tributos (R$)]]</f>
        <v>0</v>
      </c>
      <c r="L122" s="92">
        <v>0.1</v>
      </c>
      <c r="M122" s="76">
        <f>Materiais[[#This Row],[Custo Total
Com IPI (R$)]]/(1-Materiais[[#This Row],[Margem
(%)]])</f>
        <v>0</v>
      </c>
      <c r="N122" s="16">
        <f>Materiais[[#This Row],[Valor Venda c/ Potencial Desconto  em Material (R$)]]-Materiais[[#This Row],[Custo Total
Com IPI (R$)]]</f>
        <v>0</v>
      </c>
      <c r="O122" s="93">
        <f>Materiais[[#This Row],[Valor Total
Com Margem
Sem Tributos   (R$)]]/(1-('Valores Finais'!$C$10))</f>
        <v>0</v>
      </c>
      <c r="P122" s="93">
        <f>Materiais[[#This Row],[Valor Venda c/ Potencial Desconto  em Material (R$)]]/(1-('Valores Finais'!$B$6))</f>
        <v>0</v>
      </c>
      <c r="Q122" s="84">
        <f>'Valores Finais'!$B$10</f>
        <v>0.12</v>
      </c>
      <c r="R122" s="76">
        <f>Materiais[[#This Row],[Valor Venda c/ Comissões (R$)]]/(1-Materiais[[#This Row],[Tributos
(%)]])-Materiais[[#This Row],[Valor Venda c/ Comissões (R$)]]</f>
        <v>0</v>
      </c>
      <c r="S122" s="76">
        <f>Materiais[[#This Row],[Valor Venda c/ Comissões (R$)]]+Materiais[[#This Row],[Tributos
(R$)]]</f>
        <v>0</v>
      </c>
      <c r="T122" s="185"/>
      <c r="U122" s="186">
        <f ca="1">IF(Materiais[[#This Row],[Data Update]] = "",0,IF(_xlfn.DAYS(NOW(),Materiais[[#This Row],[Data Update]])&lt;=0,0,_xlfn.DAYS(NOW(),Materiais[[#This Row],[Data Update]])))</f>
        <v>0</v>
      </c>
    </row>
    <row r="123" spans="1:21" x14ac:dyDescent="0.2">
      <c r="A123" s="46"/>
      <c r="B123" s="46"/>
      <c r="C123" s="46"/>
      <c r="D123" s="46"/>
      <c r="E123" s="46"/>
      <c r="F123" s="138"/>
      <c r="G123" s="129"/>
      <c r="H123" s="180"/>
      <c r="I123" s="5">
        <f>(Materiais[[#This Row],[Qtde.]]*Materiais[[#This Row],[Custo Unitário
Sem Tributos (R$)]])</f>
        <v>0</v>
      </c>
      <c r="J123" s="92">
        <v>0</v>
      </c>
      <c r="K123" s="140">
        <f>Materiais[[#This Row],[Custo Total
Sem Tributos (R$)]]*Materiais[[#This Row],[IPI
(%)]]+Materiais[[#This Row],[Custo Total
Sem Tributos (R$)]]</f>
        <v>0</v>
      </c>
      <c r="L123" s="92">
        <v>0.1</v>
      </c>
      <c r="M123" s="76">
        <f>Materiais[[#This Row],[Custo Total
Com IPI (R$)]]/(1-Materiais[[#This Row],[Margem
(%)]])</f>
        <v>0</v>
      </c>
      <c r="N123" s="16">
        <f>Materiais[[#This Row],[Valor Venda c/ Potencial Desconto  em Material (R$)]]-Materiais[[#This Row],[Custo Total
Com IPI (R$)]]</f>
        <v>0</v>
      </c>
      <c r="O123" s="93">
        <f>Materiais[[#This Row],[Valor Total
Com Margem
Sem Tributos   (R$)]]/(1-('Valores Finais'!$C$10))</f>
        <v>0</v>
      </c>
      <c r="P123" s="93">
        <f>Materiais[[#This Row],[Valor Venda c/ Potencial Desconto  em Material (R$)]]/(1-('Valores Finais'!$B$6))</f>
        <v>0</v>
      </c>
      <c r="Q123" s="84">
        <f>'Valores Finais'!$B$10</f>
        <v>0.12</v>
      </c>
      <c r="R123" s="76">
        <f>Materiais[[#This Row],[Valor Venda c/ Comissões (R$)]]/(1-Materiais[[#This Row],[Tributos
(%)]])-Materiais[[#This Row],[Valor Venda c/ Comissões (R$)]]</f>
        <v>0</v>
      </c>
      <c r="S123" s="76">
        <f>Materiais[[#This Row],[Valor Venda c/ Comissões (R$)]]+Materiais[[#This Row],[Tributos
(R$)]]</f>
        <v>0</v>
      </c>
      <c r="T123" s="185"/>
      <c r="U123" s="186">
        <f ca="1">IF(Materiais[[#This Row],[Data Update]] = "",0,IF(_xlfn.DAYS(NOW(),Materiais[[#This Row],[Data Update]])&lt;=0,0,_xlfn.DAYS(NOW(),Materiais[[#This Row],[Data Update]])))</f>
        <v>0</v>
      </c>
    </row>
    <row r="124" spans="1:21" x14ac:dyDescent="0.2">
      <c r="A124" s="46"/>
      <c r="B124" s="46"/>
      <c r="C124" s="46"/>
      <c r="D124" s="46"/>
      <c r="E124" s="46"/>
      <c r="F124" s="138"/>
      <c r="G124" s="129"/>
      <c r="H124" s="180"/>
      <c r="I124" s="5">
        <f>(Materiais[[#This Row],[Qtde.]]*Materiais[[#This Row],[Custo Unitário
Sem Tributos (R$)]])</f>
        <v>0</v>
      </c>
      <c r="J124" s="92">
        <v>0</v>
      </c>
      <c r="K124" s="140">
        <f>Materiais[[#This Row],[Custo Total
Sem Tributos (R$)]]*Materiais[[#This Row],[IPI
(%)]]+Materiais[[#This Row],[Custo Total
Sem Tributos (R$)]]</f>
        <v>0</v>
      </c>
      <c r="L124" s="92">
        <v>0.1</v>
      </c>
      <c r="M124" s="76">
        <f>Materiais[[#This Row],[Custo Total
Com IPI (R$)]]/(1-Materiais[[#This Row],[Margem
(%)]])</f>
        <v>0</v>
      </c>
      <c r="N124" s="16">
        <f>Materiais[[#This Row],[Valor Venda c/ Potencial Desconto  em Material (R$)]]-Materiais[[#This Row],[Custo Total
Com IPI (R$)]]</f>
        <v>0</v>
      </c>
      <c r="O124" s="93">
        <f>Materiais[[#This Row],[Valor Total
Com Margem
Sem Tributos   (R$)]]/(1-('Valores Finais'!$C$10))</f>
        <v>0</v>
      </c>
      <c r="P124" s="93">
        <f>Materiais[[#This Row],[Valor Venda c/ Potencial Desconto  em Material (R$)]]/(1-('Valores Finais'!$B$6))</f>
        <v>0</v>
      </c>
      <c r="Q124" s="84">
        <f>'Valores Finais'!$B$10</f>
        <v>0.12</v>
      </c>
      <c r="R124" s="76">
        <f>Materiais[[#This Row],[Valor Venda c/ Comissões (R$)]]/(1-Materiais[[#This Row],[Tributos
(%)]])-Materiais[[#This Row],[Valor Venda c/ Comissões (R$)]]</f>
        <v>0</v>
      </c>
      <c r="S124" s="76">
        <f>Materiais[[#This Row],[Valor Venda c/ Comissões (R$)]]+Materiais[[#This Row],[Tributos
(R$)]]</f>
        <v>0</v>
      </c>
      <c r="T124" s="185"/>
      <c r="U124" s="186">
        <f ca="1">IF(Materiais[[#This Row],[Data Update]] = "",0,IF(_xlfn.DAYS(NOW(),Materiais[[#This Row],[Data Update]])&lt;=0,0,_xlfn.DAYS(NOW(),Materiais[[#This Row],[Data Update]])))</f>
        <v>0</v>
      </c>
    </row>
    <row r="125" spans="1:21" x14ac:dyDescent="0.2">
      <c r="A125" s="46"/>
      <c r="B125" s="46"/>
      <c r="C125" s="46"/>
      <c r="D125" s="46"/>
      <c r="E125" s="46"/>
      <c r="F125" s="138"/>
      <c r="G125" s="129"/>
      <c r="H125" s="180"/>
      <c r="I125" s="5">
        <f>(Materiais[[#This Row],[Qtde.]]*Materiais[[#This Row],[Custo Unitário
Sem Tributos (R$)]])</f>
        <v>0</v>
      </c>
      <c r="J125" s="92">
        <v>0</v>
      </c>
      <c r="K125" s="140">
        <f>Materiais[[#This Row],[Custo Total
Sem Tributos (R$)]]*Materiais[[#This Row],[IPI
(%)]]+Materiais[[#This Row],[Custo Total
Sem Tributos (R$)]]</f>
        <v>0</v>
      </c>
      <c r="L125" s="92">
        <v>0.1</v>
      </c>
      <c r="M125" s="76">
        <f>Materiais[[#This Row],[Custo Total
Com IPI (R$)]]/(1-Materiais[[#This Row],[Margem
(%)]])</f>
        <v>0</v>
      </c>
      <c r="N125" s="16">
        <f>Materiais[[#This Row],[Valor Venda c/ Potencial Desconto  em Material (R$)]]-Materiais[[#This Row],[Custo Total
Com IPI (R$)]]</f>
        <v>0</v>
      </c>
      <c r="O125" s="93">
        <f>Materiais[[#This Row],[Valor Total
Com Margem
Sem Tributos   (R$)]]/(1-('Valores Finais'!$C$10))</f>
        <v>0</v>
      </c>
      <c r="P125" s="93">
        <f>Materiais[[#This Row],[Valor Venda c/ Potencial Desconto  em Material (R$)]]/(1-('Valores Finais'!$B$6))</f>
        <v>0</v>
      </c>
      <c r="Q125" s="84">
        <f>'Valores Finais'!$B$10</f>
        <v>0.12</v>
      </c>
      <c r="R125" s="76">
        <f>Materiais[[#This Row],[Valor Venda c/ Comissões (R$)]]/(1-Materiais[[#This Row],[Tributos
(%)]])-Materiais[[#This Row],[Valor Venda c/ Comissões (R$)]]</f>
        <v>0</v>
      </c>
      <c r="S125" s="76">
        <f>Materiais[[#This Row],[Valor Venda c/ Comissões (R$)]]+Materiais[[#This Row],[Tributos
(R$)]]</f>
        <v>0</v>
      </c>
      <c r="T125" s="185"/>
      <c r="U125" s="186">
        <f ca="1">IF(Materiais[[#This Row],[Data Update]] = "",0,IF(_xlfn.DAYS(NOW(),Materiais[[#This Row],[Data Update]])&lt;=0,0,_xlfn.DAYS(NOW(),Materiais[[#This Row],[Data Update]])))</f>
        <v>0</v>
      </c>
    </row>
    <row r="126" spans="1:21" x14ac:dyDescent="0.2">
      <c r="A126" s="46"/>
      <c r="B126" s="46"/>
      <c r="C126" s="46"/>
      <c r="D126" s="46"/>
      <c r="E126" s="46"/>
      <c r="F126" s="138"/>
      <c r="G126" s="129"/>
      <c r="H126" s="180"/>
      <c r="I126" s="5">
        <f>(Materiais[[#This Row],[Qtde.]]*Materiais[[#This Row],[Custo Unitário
Sem Tributos (R$)]])</f>
        <v>0</v>
      </c>
      <c r="J126" s="92">
        <v>0</v>
      </c>
      <c r="K126" s="140">
        <f>Materiais[[#This Row],[Custo Total
Sem Tributos (R$)]]*Materiais[[#This Row],[IPI
(%)]]+Materiais[[#This Row],[Custo Total
Sem Tributos (R$)]]</f>
        <v>0</v>
      </c>
      <c r="L126" s="92">
        <v>0.1</v>
      </c>
      <c r="M126" s="76">
        <f>Materiais[[#This Row],[Custo Total
Com IPI (R$)]]/(1-Materiais[[#This Row],[Margem
(%)]])</f>
        <v>0</v>
      </c>
      <c r="N126" s="16">
        <f>Materiais[[#This Row],[Valor Venda c/ Potencial Desconto  em Material (R$)]]-Materiais[[#This Row],[Custo Total
Com IPI (R$)]]</f>
        <v>0</v>
      </c>
      <c r="O126" s="93">
        <f>Materiais[[#This Row],[Valor Total
Com Margem
Sem Tributos   (R$)]]/(1-('Valores Finais'!$C$10))</f>
        <v>0</v>
      </c>
      <c r="P126" s="93">
        <f>Materiais[[#This Row],[Valor Venda c/ Potencial Desconto  em Material (R$)]]/(1-('Valores Finais'!$B$6))</f>
        <v>0</v>
      </c>
      <c r="Q126" s="84">
        <f>'Valores Finais'!$B$10</f>
        <v>0.12</v>
      </c>
      <c r="R126" s="76">
        <f>Materiais[[#This Row],[Valor Venda c/ Comissões (R$)]]/(1-Materiais[[#This Row],[Tributos
(%)]])-Materiais[[#This Row],[Valor Venda c/ Comissões (R$)]]</f>
        <v>0</v>
      </c>
      <c r="S126" s="76">
        <f>Materiais[[#This Row],[Valor Venda c/ Comissões (R$)]]+Materiais[[#This Row],[Tributos
(R$)]]</f>
        <v>0</v>
      </c>
      <c r="T126" s="185"/>
      <c r="U126" s="186">
        <f ca="1">IF(Materiais[[#This Row],[Data Update]] = "",0,IF(_xlfn.DAYS(NOW(),Materiais[[#This Row],[Data Update]])&lt;=0,0,_xlfn.DAYS(NOW(),Materiais[[#This Row],[Data Update]])))</f>
        <v>0</v>
      </c>
    </row>
    <row r="127" spans="1:21" x14ac:dyDescent="0.2">
      <c r="A127" s="46"/>
      <c r="B127" s="46"/>
      <c r="C127" s="46"/>
      <c r="D127" s="46"/>
      <c r="E127" s="46"/>
      <c r="F127" s="138"/>
      <c r="G127" s="129"/>
      <c r="H127" s="180"/>
      <c r="I127" s="5">
        <f>(Materiais[[#This Row],[Qtde.]]*Materiais[[#This Row],[Custo Unitário
Sem Tributos (R$)]])</f>
        <v>0</v>
      </c>
      <c r="J127" s="92">
        <v>0</v>
      </c>
      <c r="K127" s="140">
        <f>Materiais[[#This Row],[Custo Total
Sem Tributos (R$)]]*Materiais[[#This Row],[IPI
(%)]]+Materiais[[#This Row],[Custo Total
Sem Tributos (R$)]]</f>
        <v>0</v>
      </c>
      <c r="L127" s="92">
        <v>0.1</v>
      </c>
      <c r="M127" s="76">
        <f>Materiais[[#This Row],[Custo Total
Com IPI (R$)]]/(1-Materiais[[#This Row],[Margem
(%)]])</f>
        <v>0</v>
      </c>
      <c r="N127" s="16">
        <f>Materiais[[#This Row],[Valor Venda c/ Potencial Desconto  em Material (R$)]]-Materiais[[#This Row],[Custo Total
Com IPI (R$)]]</f>
        <v>0</v>
      </c>
      <c r="O127" s="93">
        <f>Materiais[[#This Row],[Valor Total
Com Margem
Sem Tributos   (R$)]]/(1-('Valores Finais'!$C$10))</f>
        <v>0</v>
      </c>
      <c r="P127" s="93">
        <f>Materiais[[#This Row],[Valor Venda c/ Potencial Desconto  em Material (R$)]]/(1-('Valores Finais'!$B$6))</f>
        <v>0</v>
      </c>
      <c r="Q127" s="84">
        <f>'Valores Finais'!$B$10</f>
        <v>0.12</v>
      </c>
      <c r="R127" s="76">
        <f>Materiais[[#This Row],[Valor Venda c/ Comissões (R$)]]/(1-Materiais[[#This Row],[Tributos
(%)]])-Materiais[[#This Row],[Valor Venda c/ Comissões (R$)]]</f>
        <v>0</v>
      </c>
      <c r="S127" s="76">
        <f>Materiais[[#This Row],[Valor Venda c/ Comissões (R$)]]+Materiais[[#This Row],[Tributos
(R$)]]</f>
        <v>0</v>
      </c>
      <c r="T127" s="185"/>
      <c r="U127" s="186">
        <f ca="1">IF(Materiais[[#This Row],[Data Update]] = "",0,IF(_xlfn.DAYS(NOW(),Materiais[[#This Row],[Data Update]])&lt;=0,0,_xlfn.DAYS(NOW(),Materiais[[#This Row],[Data Update]])))</f>
        <v>0</v>
      </c>
    </row>
    <row r="128" spans="1:21" x14ac:dyDescent="0.2">
      <c r="A128" s="46"/>
      <c r="B128" s="46"/>
      <c r="C128" s="46"/>
      <c r="D128" s="46"/>
      <c r="E128" s="46"/>
      <c r="F128" s="138"/>
      <c r="G128" s="129"/>
      <c r="H128" s="180"/>
      <c r="I128" s="5">
        <f>(Materiais[[#This Row],[Qtde.]]*Materiais[[#This Row],[Custo Unitário
Sem Tributos (R$)]])</f>
        <v>0</v>
      </c>
      <c r="J128" s="92">
        <v>0</v>
      </c>
      <c r="K128" s="140">
        <f>Materiais[[#This Row],[Custo Total
Sem Tributos (R$)]]*Materiais[[#This Row],[IPI
(%)]]+Materiais[[#This Row],[Custo Total
Sem Tributos (R$)]]</f>
        <v>0</v>
      </c>
      <c r="L128" s="92">
        <v>0.1</v>
      </c>
      <c r="M128" s="76">
        <f>Materiais[[#This Row],[Custo Total
Com IPI (R$)]]/(1-Materiais[[#This Row],[Margem
(%)]])</f>
        <v>0</v>
      </c>
      <c r="N128" s="16">
        <f>Materiais[[#This Row],[Valor Venda c/ Potencial Desconto  em Material (R$)]]-Materiais[[#This Row],[Custo Total
Com IPI (R$)]]</f>
        <v>0</v>
      </c>
      <c r="O128" s="93">
        <f>Materiais[[#This Row],[Valor Total
Com Margem
Sem Tributos   (R$)]]/(1-('Valores Finais'!$C$10))</f>
        <v>0</v>
      </c>
      <c r="P128" s="93">
        <f>Materiais[[#This Row],[Valor Venda c/ Potencial Desconto  em Material (R$)]]/(1-('Valores Finais'!$B$6))</f>
        <v>0</v>
      </c>
      <c r="Q128" s="84">
        <f>'Valores Finais'!$B$10</f>
        <v>0.12</v>
      </c>
      <c r="R128" s="76">
        <f>Materiais[[#This Row],[Valor Venda c/ Comissões (R$)]]/(1-Materiais[[#This Row],[Tributos
(%)]])-Materiais[[#This Row],[Valor Venda c/ Comissões (R$)]]</f>
        <v>0</v>
      </c>
      <c r="S128" s="76">
        <f>Materiais[[#This Row],[Valor Venda c/ Comissões (R$)]]+Materiais[[#This Row],[Tributos
(R$)]]</f>
        <v>0</v>
      </c>
      <c r="T128" s="185"/>
      <c r="U128" s="186">
        <f ca="1">IF(Materiais[[#This Row],[Data Update]] = "",0,IF(_xlfn.DAYS(NOW(),Materiais[[#This Row],[Data Update]])&lt;=0,0,_xlfn.DAYS(NOW(),Materiais[[#This Row],[Data Update]])))</f>
        <v>0</v>
      </c>
    </row>
    <row r="129" spans="1:21" x14ac:dyDescent="0.2">
      <c r="A129" s="46"/>
      <c r="B129" s="46"/>
      <c r="C129" s="46"/>
      <c r="D129" s="46"/>
      <c r="E129" s="46"/>
      <c r="F129" s="138"/>
      <c r="G129" s="129"/>
      <c r="H129" s="180"/>
      <c r="I129" s="5">
        <f>(Materiais[[#This Row],[Qtde.]]*Materiais[[#This Row],[Custo Unitário
Sem Tributos (R$)]])</f>
        <v>0</v>
      </c>
      <c r="J129" s="92">
        <v>0</v>
      </c>
      <c r="K129" s="140">
        <f>Materiais[[#This Row],[Custo Total
Sem Tributos (R$)]]*Materiais[[#This Row],[IPI
(%)]]+Materiais[[#This Row],[Custo Total
Sem Tributos (R$)]]</f>
        <v>0</v>
      </c>
      <c r="L129" s="92">
        <v>0.1</v>
      </c>
      <c r="M129" s="76">
        <f>Materiais[[#This Row],[Custo Total
Com IPI (R$)]]/(1-Materiais[[#This Row],[Margem
(%)]])</f>
        <v>0</v>
      </c>
      <c r="N129" s="16">
        <f>Materiais[[#This Row],[Valor Venda c/ Potencial Desconto  em Material (R$)]]-Materiais[[#This Row],[Custo Total
Com IPI (R$)]]</f>
        <v>0</v>
      </c>
      <c r="O129" s="93">
        <f>Materiais[[#This Row],[Valor Total
Com Margem
Sem Tributos   (R$)]]/(1-('Valores Finais'!$C$10))</f>
        <v>0</v>
      </c>
      <c r="P129" s="93">
        <f>Materiais[[#This Row],[Valor Venda c/ Potencial Desconto  em Material (R$)]]/(1-('Valores Finais'!$B$6))</f>
        <v>0</v>
      </c>
      <c r="Q129" s="84">
        <f>'Valores Finais'!$B$10</f>
        <v>0.12</v>
      </c>
      <c r="R129" s="76">
        <f>Materiais[[#This Row],[Valor Venda c/ Comissões (R$)]]/(1-Materiais[[#This Row],[Tributos
(%)]])-Materiais[[#This Row],[Valor Venda c/ Comissões (R$)]]</f>
        <v>0</v>
      </c>
      <c r="S129" s="76">
        <f>Materiais[[#This Row],[Valor Venda c/ Comissões (R$)]]+Materiais[[#This Row],[Tributos
(R$)]]</f>
        <v>0</v>
      </c>
      <c r="T129" s="185"/>
      <c r="U129" s="186">
        <f ca="1">IF(Materiais[[#This Row],[Data Update]] = "",0,IF(_xlfn.DAYS(NOW(),Materiais[[#This Row],[Data Update]])&lt;=0,0,_xlfn.DAYS(NOW(),Materiais[[#This Row],[Data Update]])))</f>
        <v>0</v>
      </c>
    </row>
    <row r="130" spans="1:21" x14ac:dyDescent="0.2">
      <c r="A130" s="46"/>
      <c r="B130" s="46"/>
      <c r="C130" s="46"/>
      <c r="D130" s="46"/>
      <c r="E130" s="46"/>
      <c r="F130" s="138"/>
      <c r="G130" s="129"/>
      <c r="H130" s="180"/>
      <c r="I130" s="5">
        <f>(Materiais[[#This Row],[Qtde.]]*Materiais[[#This Row],[Custo Unitário
Sem Tributos (R$)]])</f>
        <v>0</v>
      </c>
      <c r="J130" s="92">
        <v>0</v>
      </c>
      <c r="K130" s="140">
        <f>Materiais[[#This Row],[Custo Total
Sem Tributos (R$)]]*Materiais[[#This Row],[IPI
(%)]]+Materiais[[#This Row],[Custo Total
Sem Tributos (R$)]]</f>
        <v>0</v>
      </c>
      <c r="L130" s="92">
        <v>0.1</v>
      </c>
      <c r="M130" s="76">
        <f>Materiais[[#This Row],[Custo Total
Com IPI (R$)]]/(1-Materiais[[#This Row],[Margem
(%)]])</f>
        <v>0</v>
      </c>
      <c r="N130" s="16">
        <f>Materiais[[#This Row],[Valor Venda c/ Potencial Desconto  em Material (R$)]]-Materiais[[#This Row],[Custo Total
Com IPI (R$)]]</f>
        <v>0</v>
      </c>
      <c r="O130" s="93">
        <f>Materiais[[#This Row],[Valor Total
Com Margem
Sem Tributos   (R$)]]/(1-('Valores Finais'!$C$10))</f>
        <v>0</v>
      </c>
      <c r="P130" s="93">
        <f>Materiais[[#This Row],[Valor Venda c/ Potencial Desconto  em Material (R$)]]/(1-('Valores Finais'!$B$6))</f>
        <v>0</v>
      </c>
      <c r="Q130" s="84">
        <f>'Valores Finais'!$B$10</f>
        <v>0.12</v>
      </c>
      <c r="R130" s="76">
        <f>Materiais[[#This Row],[Valor Venda c/ Comissões (R$)]]/(1-Materiais[[#This Row],[Tributos
(%)]])-Materiais[[#This Row],[Valor Venda c/ Comissões (R$)]]</f>
        <v>0</v>
      </c>
      <c r="S130" s="76">
        <f>Materiais[[#This Row],[Valor Venda c/ Comissões (R$)]]+Materiais[[#This Row],[Tributos
(R$)]]</f>
        <v>0</v>
      </c>
      <c r="T130" s="185"/>
      <c r="U130" s="186">
        <f ca="1">IF(Materiais[[#This Row],[Data Update]] = "",0,IF(_xlfn.DAYS(NOW(),Materiais[[#This Row],[Data Update]])&lt;=0,0,_xlfn.DAYS(NOW(),Materiais[[#This Row],[Data Update]])))</f>
        <v>0</v>
      </c>
    </row>
    <row r="131" spans="1:21" x14ac:dyDescent="0.2">
      <c r="A131" s="46"/>
      <c r="B131" s="46"/>
      <c r="C131" s="46"/>
      <c r="D131" s="46"/>
      <c r="E131" s="46"/>
      <c r="F131" s="138"/>
      <c r="G131" s="129"/>
      <c r="H131" s="180"/>
      <c r="I131" s="5">
        <f>(Materiais[[#This Row],[Qtde.]]*Materiais[[#This Row],[Custo Unitário
Sem Tributos (R$)]])</f>
        <v>0</v>
      </c>
      <c r="J131" s="92">
        <v>0</v>
      </c>
      <c r="K131" s="140">
        <f>Materiais[[#This Row],[Custo Total
Sem Tributos (R$)]]*Materiais[[#This Row],[IPI
(%)]]+Materiais[[#This Row],[Custo Total
Sem Tributos (R$)]]</f>
        <v>0</v>
      </c>
      <c r="L131" s="92">
        <v>0.1</v>
      </c>
      <c r="M131" s="76">
        <f>Materiais[[#This Row],[Custo Total
Com IPI (R$)]]/(1-Materiais[[#This Row],[Margem
(%)]])</f>
        <v>0</v>
      </c>
      <c r="N131" s="16">
        <f>Materiais[[#This Row],[Valor Venda c/ Potencial Desconto  em Material (R$)]]-Materiais[[#This Row],[Custo Total
Com IPI (R$)]]</f>
        <v>0</v>
      </c>
      <c r="O131" s="93">
        <f>Materiais[[#This Row],[Valor Total
Com Margem
Sem Tributos   (R$)]]/(1-('Valores Finais'!$C$10))</f>
        <v>0</v>
      </c>
      <c r="P131" s="93">
        <f>Materiais[[#This Row],[Valor Venda c/ Potencial Desconto  em Material (R$)]]/(1-('Valores Finais'!$B$6))</f>
        <v>0</v>
      </c>
      <c r="Q131" s="84">
        <f>'Valores Finais'!$B$10</f>
        <v>0.12</v>
      </c>
      <c r="R131" s="76">
        <f>Materiais[[#This Row],[Valor Venda c/ Comissões (R$)]]/(1-Materiais[[#This Row],[Tributos
(%)]])-Materiais[[#This Row],[Valor Venda c/ Comissões (R$)]]</f>
        <v>0</v>
      </c>
      <c r="S131" s="76">
        <f>Materiais[[#This Row],[Valor Venda c/ Comissões (R$)]]+Materiais[[#This Row],[Tributos
(R$)]]</f>
        <v>0</v>
      </c>
      <c r="T131" s="185"/>
      <c r="U131" s="186">
        <f ca="1">IF(Materiais[[#This Row],[Data Update]] = "",0,IF(_xlfn.DAYS(NOW(),Materiais[[#This Row],[Data Update]])&lt;=0,0,_xlfn.DAYS(NOW(),Materiais[[#This Row],[Data Update]])))</f>
        <v>0</v>
      </c>
    </row>
    <row r="132" spans="1:21" x14ac:dyDescent="0.2">
      <c r="A132" s="46"/>
      <c r="B132" s="46"/>
      <c r="C132" s="46"/>
      <c r="D132" s="46"/>
      <c r="E132" s="46"/>
      <c r="F132" s="138"/>
      <c r="G132" s="129"/>
      <c r="H132" s="180"/>
      <c r="I132" s="5">
        <f>(Materiais[[#This Row],[Qtde.]]*Materiais[[#This Row],[Custo Unitário
Sem Tributos (R$)]])</f>
        <v>0</v>
      </c>
      <c r="J132" s="92">
        <v>0</v>
      </c>
      <c r="K132" s="140">
        <f>Materiais[[#This Row],[Custo Total
Sem Tributos (R$)]]*Materiais[[#This Row],[IPI
(%)]]+Materiais[[#This Row],[Custo Total
Sem Tributos (R$)]]</f>
        <v>0</v>
      </c>
      <c r="L132" s="92">
        <v>0.1</v>
      </c>
      <c r="M132" s="76">
        <f>Materiais[[#This Row],[Custo Total
Com IPI (R$)]]/(1-Materiais[[#This Row],[Margem
(%)]])</f>
        <v>0</v>
      </c>
      <c r="N132" s="16">
        <f>Materiais[[#This Row],[Valor Venda c/ Potencial Desconto  em Material (R$)]]-Materiais[[#This Row],[Custo Total
Com IPI (R$)]]</f>
        <v>0</v>
      </c>
      <c r="O132" s="93">
        <f>Materiais[[#This Row],[Valor Total
Com Margem
Sem Tributos   (R$)]]/(1-('Valores Finais'!$C$10))</f>
        <v>0</v>
      </c>
      <c r="P132" s="93">
        <f>Materiais[[#This Row],[Valor Venda c/ Potencial Desconto  em Material (R$)]]/(1-('Valores Finais'!$B$6))</f>
        <v>0</v>
      </c>
      <c r="Q132" s="84">
        <f>'Valores Finais'!$B$10</f>
        <v>0.12</v>
      </c>
      <c r="R132" s="76">
        <f>Materiais[[#This Row],[Valor Venda c/ Comissões (R$)]]/(1-Materiais[[#This Row],[Tributos
(%)]])-Materiais[[#This Row],[Valor Venda c/ Comissões (R$)]]</f>
        <v>0</v>
      </c>
      <c r="S132" s="76">
        <f>Materiais[[#This Row],[Valor Venda c/ Comissões (R$)]]+Materiais[[#This Row],[Tributos
(R$)]]</f>
        <v>0</v>
      </c>
      <c r="T132" s="185"/>
      <c r="U132" s="186">
        <f ca="1">IF(Materiais[[#This Row],[Data Update]] = "",0,IF(_xlfn.DAYS(NOW(),Materiais[[#This Row],[Data Update]])&lt;=0,0,_xlfn.DAYS(NOW(),Materiais[[#This Row],[Data Update]])))</f>
        <v>0</v>
      </c>
    </row>
    <row r="133" spans="1:21" x14ac:dyDescent="0.2">
      <c r="A133" s="46"/>
      <c r="B133" s="46"/>
      <c r="C133" s="46"/>
      <c r="D133" s="46"/>
      <c r="E133" s="46"/>
      <c r="F133" s="138"/>
      <c r="G133" s="129"/>
      <c r="H133" s="180"/>
      <c r="I133" s="5">
        <f>(Materiais[[#This Row],[Qtde.]]*Materiais[[#This Row],[Custo Unitário
Sem Tributos (R$)]])</f>
        <v>0</v>
      </c>
      <c r="J133" s="92">
        <v>0</v>
      </c>
      <c r="K133" s="140">
        <f>Materiais[[#This Row],[Custo Total
Sem Tributos (R$)]]*Materiais[[#This Row],[IPI
(%)]]+Materiais[[#This Row],[Custo Total
Sem Tributos (R$)]]</f>
        <v>0</v>
      </c>
      <c r="L133" s="92">
        <v>0.1</v>
      </c>
      <c r="M133" s="76">
        <f>Materiais[[#This Row],[Custo Total
Com IPI (R$)]]/(1-Materiais[[#This Row],[Margem
(%)]])</f>
        <v>0</v>
      </c>
      <c r="N133" s="16">
        <f>Materiais[[#This Row],[Valor Venda c/ Potencial Desconto  em Material (R$)]]-Materiais[[#This Row],[Custo Total
Com IPI (R$)]]</f>
        <v>0</v>
      </c>
      <c r="O133" s="93">
        <f>Materiais[[#This Row],[Valor Total
Com Margem
Sem Tributos   (R$)]]/(1-('Valores Finais'!$C$10))</f>
        <v>0</v>
      </c>
      <c r="P133" s="93">
        <f>Materiais[[#This Row],[Valor Venda c/ Potencial Desconto  em Material (R$)]]/(1-('Valores Finais'!$B$6))</f>
        <v>0</v>
      </c>
      <c r="Q133" s="84">
        <f>'Valores Finais'!$B$10</f>
        <v>0.12</v>
      </c>
      <c r="R133" s="76">
        <f>Materiais[[#This Row],[Valor Venda c/ Comissões (R$)]]/(1-Materiais[[#This Row],[Tributos
(%)]])-Materiais[[#This Row],[Valor Venda c/ Comissões (R$)]]</f>
        <v>0</v>
      </c>
      <c r="S133" s="76">
        <f>Materiais[[#This Row],[Valor Venda c/ Comissões (R$)]]+Materiais[[#This Row],[Tributos
(R$)]]</f>
        <v>0</v>
      </c>
      <c r="T133" s="185"/>
      <c r="U133" s="186">
        <f ca="1">IF(Materiais[[#This Row],[Data Update]] = "",0,IF(_xlfn.DAYS(NOW(),Materiais[[#This Row],[Data Update]])&lt;=0,0,_xlfn.DAYS(NOW(),Materiais[[#This Row],[Data Update]])))</f>
        <v>0</v>
      </c>
    </row>
    <row r="134" spans="1:21" x14ac:dyDescent="0.2">
      <c r="A134" s="46"/>
      <c r="B134" s="46"/>
      <c r="C134" s="46"/>
      <c r="D134" s="46"/>
      <c r="E134" s="46"/>
      <c r="F134" s="138"/>
      <c r="G134" s="129"/>
      <c r="H134" s="180"/>
      <c r="I134" s="5">
        <f>(Materiais[[#This Row],[Qtde.]]*Materiais[[#This Row],[Custo Unitário
Sem Tributos (R$)]])</f>
        <v>0</v>
      </c>
      <c r="J134" s="92">
        <v>0</v>
      </c>
      <c r="K134" s="140">
        <f>Materiais[[#This Row],[Custo Total
Sem Tributos (R$)]]*Materiais[[#This Row],[IPI
(%)]]+Materiais[[#This Row],[Custo Total
Sem Tributos (R$)]]</f>
        <v>0</v>
      </c>
      <c r="L134" s="92">
        <v>0.1</v>
      </c>
      <c r="M134" s="76">
        <f>Materiais[[#This Row],[Custo Total
Com IPI (R$)]]/(1-Materiais[[#This Row],[Margem
(%)]])</f>
        <v>0</v>
      </c>
      <c r="N134" s="16">
        <f>Materiais[[#This Row],[Valor Venda c/ Potencial Desconto  em Material (R$)]]-Materiais[[#This Row],[Custo Total
Com IPI (R$)]]</f>
        <v>0</v>
      </c>
      <c r="O134" s="93">
        <f>Materiais[[#This Row],[Valor Total
Com Margem
Sem Tributos   (R$)]]/(1-('Valores Finais'!$C$10))</f>
        <v>0</v>
      </c>
      <c r="P134" s="93">
        <f>Materiais[[#This Row],[Valor Venda c/ Potencial Desconto  em Material (R$)]]/(1-('Valores Finais'!$B$6))</f>
        <v>0</v>
      </c>
      <c r="Q134" s="84">
        <f>'Valores Finais'!$B$10</f>
        <v>0.12</v>
      </c>
      <c r="R134" s="76">
        <f>Materiais[[#This Row],[Valor Venda c/ Comissões (R$)]]/(1-Materiais[[#This Row],[Tributos
(%)]])-Materiais[[#This Row],[Valor Venda c/ Comissões (R$)]]</f>
        <v>0</v>
      </c>
      <c r="S134" s="76">
        <f>Materiais[[#This Row],[Valor Venda c/ Comissões (R$)]]+Materiais[[#This Row],[Tributos
(R$)]]</f>
        <v>0</v>
      </c>
      <c r="T134" s="185"/>
      <c r="U134" s="186">
        <f ca="1">IF(Materiais[[#This Row],[Data Update]] = "",0,IF(_xlfn.DAYS(NOW(),Materiais[[#This Row],[Data Update]])&lt;=0,0,_xlfn.DAYS(NOW(),Materiais[[#This Row],[Data Update]])))</f>
        <v>0</v>
      </c>
    </row>
    <row r="135" spans="1:21" x14ac:dyDescent="0.2">
      <c r="A135" s="46"/>
      <c r="B135" s="46"/>
      <c r="C135" s="46"/>
      <c r="D135" s="46"/>
      <c r="E135" s="46"/>
      <c r="F135" s="138"/>
      <c r="G135" s="129"/>
      <c r="H135" s="180"/>
      <c r="I135" s="5">
        <f>(Materiais[[#This Row],[Qtde.]]*Materiais[[#This Row],[Custo Unitário
Sem Tributos (R$)]])</f>
        <v>0</v>
      </c>
      <c r="J135" s="92">
        <v>0</v>
      </c>
      <c r="K135" s="140">
        <f>Materiais[[#This Row],[Custo Total
Sem Tributos (R$)]]*Materiais[[#This Row],[IPI
(%)]]+Materiais[[#This Row],[Custo Total
Sem Tributos (R$)]]</f>
        <v>0</v>
      </c>
      <c r="L135" s="92">
        <v>0.1</v>
      </c>
      <c r="M135" s="76">
        <f>Materiais[[#This Row],[Custo Total
Com IPI (R$)]]/(1-Materiais[[#This Row],[Margem
(%)]])</f>
        <v>0</v>
      </c>
      <c r="N135" s="16">
        <f>Materiais[[#This Row],[Valor Venda c/ Potencial Desconto  em Material (R$)]]-Materiais[[#This Row],[Custo Total
Com IPI (R$)]]</f>
        <v>0</v>
      </c>
      <c r="O135" s="93">
        <f>Materiais[[#This Row],[Valor Total
Com Margem
Sem Tributos   (R$)]]/(1-('Valores Finais'!$C$10))</f>
        <v>0</v>
      </c>
      <c r="P135" s="93">
        <f>Materiais[[#This Row],[Valor Venda c/ Potencial Desconto  em Material (R$)]]/(1-('Valores Finais'!$B$6))</f>
        <v>0</v>
      </c>
      <c r="Q135" s="84">
        <f>'Valores Finais'!$B$10</f>
        <v>0.12</v>
      </c>
      <c r="R135" s="76">
        <f>Materiais[[#This Row],[Valor Venda c/ Comissões (R$)]]/(1-Materiais[[#This Row],[Tributos
(%)]])-Materiais[[#This Row],[Valor Venda c/ Comissões (R$)]]</f>
        <v>0</v>
      </c>
      <c r="S135" s="76">
        <f>Materiais[[#This Row],[Valor Venda c/ Comissões (R$)]]+Materiais[[#This Row],[Tributos
(R$)]]</f>
        <v>0</v>
      </c>
      <c r="T135" s="185"/>
      <c r="U135" s="186">
        <f ca="1">IF(Materiais[[#This Row],[Data Update]] = "",0,IF(_xlfn.DAYS(NOW(),Materiais[[#This Row],[Data Update]])&lt;=0,0,_xlfn.DAYS(NOW(),Materiais[[#This Row],[Data Update]])))</f>
        <v>0</v>
      </c>
    </row>
    <row r="136" spans="1:21" x14ac:dyDescent="0.2">
      <c r="A136" s="46"/>
      <c r="B136" s="46"/>
      <c r="C136" s="46"/>
      <c r="D136" s="46"/>
      <c r="E136" s="46"/>
      <c r="F136" s="138"/>
      <c r="G136" s="129"/>
      <c r="H136" s="180"/>
      <c r="I136" s="5">
        <f>(Materiais[[#This Row],[Qtde.]]*Materiais[[#This Row],[Custo Unitário
Sem Tributos (R$)]])</f>
        <v>0</v>
      </c>
      <c r="J136" s="92">
        <v>0</v>
      </c>
      <c r="K136" s="140">
        <f>Materiais[[#This Row],[Custo Total
Sem Tributos (R$)]]*Materiais[[#This Row],[IPI
(%)]]+Materiais[[#This Row],[Custo Total
Sem Tributos (R$)]]</f>
        <v>0</v>
      </c>
      <c r="L136" s="92">
        <v>0.1</v>
      </c>
      <c r="M136" s="76">
        <f>Materiais[[#This Row],[Custo Total
Com IPI (R$)]]/(1-Materiais[[#This Row],[Margem
(%)]])</f>
        <v>0</v>
      </c>
      <c r="N136" s="16">
        <f>Materiais[[#This Row],[Valor Venda c/ Potencial Desconto  em Material (R$)]]-Materiais[[#This Row],[Custo Total
Com IPI (R$)]]</f>
        <v>0</v>
      </c>
      <c r="O136" s="93">
        <f>Materiais[[#This Row],[Valor Total
Com Margem
Sem Tributos   (R$)]]/(1-('Valores Finais'!$C$10))</f>
        <v>0</v>
      </c>
      <c r="P136" s="93">
        <f>Materiais[[#This Row],[Valor Venda c/ Potencial Desconto  em Material (R$)]]/(1-('Valores Finais'!$B$6))</f>
        <v>0</v>
      </c>
      <c r="Q136" s="84">
        <f>'Valores Finais'!$B$10</f>
        <v>0.12</v>
      </c>
      <c r="R136" s="76">
        <f>Materiais[[#This Row],[Valor Venda c/ Comissões (R$)]]/(1-Materiais[[#This Row],[Tributos
(%)]])-Materiais[[#This Row],[Valor Venda c/ Comissões (R$)]]</f>
        <v>0</v>
      </c>
      <c r="S136" s="76">
        <f>Materiais[[#This Row],[Valor Venda c/ Comissões (R$)]]+Materiais[[#This Row],[Tributos
(R$)]]</f>
        <v>0</v>
      </c>
      <c r="T136" s="185"/>
      <c r="U136" s="186">
        <f ca="1">IF(Materiais[[#This Row],[Data Update]] = "",0,IF(_xlfn.DAYS(NOW(),Materiais[[#This Row],[Data Update]])&lt;=0,0,_xlfn.DAYS(NOW(),Materiais[[#This Row],[Data Update]])))</f>
        <v>0</v>
      </c>
    </row>
    <row r="137" spans="1:21" x14ac:dyDescent="0.2">
      <c r="A137" s="46"/>
      <c r="B137" s="46"/>
      <c r="C137" s="46"/>
      <c r="D137" s="46"/>
      <c r="E137" s="46"/>
      <c r="F137" s="138"/>
      <c r="G137" s="129"/>
      <c r="H137" s="180"/>
      <c r="I137" s="5">
        <f>(Materiais[[#This Row],[Qtde.]]*Materiais[[#This Row],[Custo Unitário
Sem Tributos (R$)]])</f>
        <v>0</v>
      </c>
      <c r="J137" s="92">
        <v>0</v>
      </c>
      <c r="K137" s="140">
        <f>Materiais[[#This Row],[Custo Total
Sem Tributos (R$)]]*Materiais[[#This Row],[IPI
(%)]]+Materiais[[#This Row],[Custo Total
Sem Tributos (R$)]]</f>
        <v>0</v>
      </c>
      <c r="L137" s="92">
        <v>0.1</v>
      </c>
      <c r="M137" s="76">
        <f>Materiais[[#This Row],[Custo Total
Com IPI (R$)]]/(1-Materiais[[#This Row],[Margem
(%)]])</f>
        <v>0</v>
      </c>
      <c r="N137" s="16">
        <f>Materiais[[#This Row],[Valor Venda c/ Potencial Desconto  em Material (R$)]]-Materiais[[#This Row],[Custo Total
Com IPI (R$)]]</f>
        <v>0</v>
      </c>
      <c r="O137" s="93">
        <f>Materiais[[#This Row],[Valor Total
Com Margem
Sem Tributos   (R$)]]/(1-('Valores Finais'!$C$10))</f>
        <v>0</v>
      </c>
      <c r="P137" s="93">
        <f>Materiais[[#This Row],[Valor Venda c/ Potencial Desconto  em Material (R$)]]/(1-('Valores Finais'!$B$6))</f>
        <v>0</v>
      </c>
      <c r="Q137" s="84">
        <f>'Valores Finais'!$B$10</f>
        <v>0.12</v>
      </c>
      <c r="R137" s="76">
        <f>Materiais[[#This Row],[Valor Venda c/ Comissões (R$)]]/(1-Materiais[[#This Row],[Tributos
(%)]])-Materiais[[#This Row],[Valor Venda c/ Comissões (R$)]]</f>
        <v>0</v>
      </c>
      <c r="S137" s="76">
        <f>Materiais[[#This Row],[Valor Venda c/ Comissões (R$)]]+Materiais[[#This Row],[Tributos
(R$)]]</f>
        <v>0</v>
      </c>
      <c r="T137" s="185"/>
      <c r="U137" s="186">
        <f ca="1">IF(Materiais[[#This Row],[Data Update]] = "",0,IF(_xlfn.DAYS(NOW(),Materiais[[#This Row],[Data Update]])&lt;=0,0,_xlfn.DAYS(NOW(),Materiais[[#This Row],[Data Update]])))</f>
        <v>0</v>
      </c>
    </row>
    <row r="138" spans="1:21" x14ac:dyDescent="0.2">
      <c r="A138" s="46"/>
      <c r="B138" s="46"/>
      <c r="C138" s="46"/>
      <c r="D138" s="46"/>
      <c r="E138" s="46"/>
      <c r="F138" s="138"/>
      <c r="G138" s="129"/>
      <c r="H138" s="180"/>
      <c r="I138" s="5">
        <f>(Materiais[[#This Row],[Qtde.]]*Materiais[[#This Row],[Custo Unitário
Sem Tributos (R$)]])</f>
        <v>0</v>
      </c>
      <c r="J138" s="92">
        <v>0</v>
      </c>
      <c r="K138" s="140">
        <f>Materiais[[#This Row],[Custo Total
Sem Tributos (R$)]]*Materiais[[#This Row],[IPI
(%)]]+Materiais[[#This Row],[Custo Total
Sem Tributos (R$)]]</f>
        <v>0</v>
      </c>
      <c r="L138" s="92">
        <v>0.1</v>
      </c>
      <c r="M138" s="76">
        <f>Materiais[[#This Row],[Custo Total
Com IPI (R$)]]/(1-Materiais[[#This Row],[Margem
(%)]])</f>
        <v>0</v>
      </c>
      <c r="N138" s="16">
        <f>Materiais[[#This Row],[Valor Venda c/ Potencial Desconto  em Material (R$)]]-Materiais[[#This Row],[Custo Total
Com IPI (R$)]]</f>
        <v>0</v>
      </c>
      <c r="O138" s="93">
        <f>Materiais[[#This Row],[Valor Total
Com Margem
Sem Tributos   (R$)]]/(1-('Valores Finais'!$C$10))</f>
        <v>0</v>
      </c>
      <c r="P138" s="93">
        <f>Materiais[[#This Row],[Valor Venda c/ Potencial Desconto  em Material (R$)]]/(1-('Valores Finais'!$B$6))</f>
        <v>0</v>
      </c>
      <c r="Q138" s="84">
        <f>'Valores Finais'!$B$10</f>
        <v>0.12</v>
      </c>
      <c r="R138" s="76">
        <f>Materiais[[#This Row],[Valor Venda c/ Comissões (R$)]]/(1-Materiais[[#This Row],[Tributos
(%)]])-Materiais[[#This Row],[Valor Venda c/ Comissões (R$)]]</f>
        <v>0</v>
      </c>
      <c r="S138" s="76">
        <f>Materiais[[#This Row],[Valor Venda c/ Comissões (R$)]]+Materiais[[#This Row],[Tributos
(R$)]]</f>
        <v>0</v>
      </c>
      <c r="T138" s="185"/>
      <c r="U138" s="186">
        <f ca="1">IF(Materiais[[#This Row],[Data Update]] = "",0,IF(_xlfn.DAYS(NOW(),Materiais[[#This Row],[Data Update]])&lt;=0,0,_xlfn.DAYS(NOW(),Materiais[[#This Row],[Data Update]])))</f>
        <v>0</v>
      </c>
    </row>
    <row r="139" spans="1:21" x14ac:dyDescent="0.2">
      <c r="A139" s="46"/>
      <c r="B139" s="46"/>
      <c r="C139" s="46"/>
      <c r="D139" s="46"/>
      <c r="E139" s="46"/>
      <c r="F139" s="138"/>
      <c r="G139" s="129"/>
      <c r="H139" s="180"/>
      <c r="I139" s="5">
        <f>(Materiais[[#This Row],[Qtde.]]*Materiais[[#This Row],[Custo Unitário
Sem Tributos (R$)]])</f>
        <v>0</v>
      </c>
      <c r="J139" s="92">
        <v>0</v>
      </c>
      <c r="K139" s="140">
        <f>Materiais[[#This Row],[Custo Total
Sem Tributos (R$)]]*Materiais[[#This Row],[IPI
(%)]]+Materiais[[#This Row],[Custo Total
Sem Tributos (R$)]]</f>
        <v>0</v>
      </c>
      <c r="L139" s="92">
        <v>0.1</v>
      </c>
      <c r="M139" s="76">
        <f>Materiais[[#This Row],[Custo Total
Com IPI (R$)]]/(1-Materiais[[#This Row],[Margem
(%)]])</f>
        <v>0</v>
      </c>
      <c r="N139" s="16">
        <f>Materiais[[#This Row],[Valor Venda c/ Potencial Desconto  em Material (R$)]]-Materiais[[#This Row],[Custo Total
Com IPI (R$)]]</f>
        <v>0</v>
      </c>
      <c r="O139" s="93">
        <f>Materiais[[#This Row],[Valor Total
Com Margem
Sem Tributos   (R$)]]/(1-('Valores Finais'!$C$10))</f>
        <v>0</v>
      </c>
      <c r="P139" s="93">
        <f>Materiais[[#This Row],[Valor Venda c/ Potencial Desconto  em Material (R$)]]/(1-('Valores Finais'!$B$6))</f>
        <v>0</v>
      </c>
      <c r="Q139" s="84">
        <f>'Valores Finais'!$B$10</f>
        <v>0.12</v>
      </c>
      <c r="R139" s="76">
        <f>Materiais[[#This Row],[Valor Venda c/ Comissões (R$)]]/(1-Materiais[[#This Row],[Tributos
(%)]])-Materiais[[#This Row],[Valor Venda c/ Comissões (R$)]]</f>
        <v>0</v>
      </c>
      <c r="S139" s="76">
        <f>Materiais[[#This Row],[Valor Venda c/ Comissões (R$)]]+Materiais[[#This Row],[Tributos
(R$)]]</f>
        <v>0</v>
      </c>
      <c r="T139" s="185"/>
      <c r="U139" s="186">
        <f ca="1">IF(Materiais[[#This Row],[Data Update]] = "",0,IF(_xlfn.DAYS(NOW(),Materiais[[#This Row],[Data Update]])&lt;=0,0,_xlfn.DAYS(NOW(),Materiais[[#This Row],[Data Update]])))</f>
        <v>0</v>
      </c>
    </row>
    <row r="140" spans="1:21" x14ac:dyDescent="0.2">
      <c r="A140" s="46"/>
      <c r="B140" s="46"/>
      <c r="C140" s="46"/>
      <c r="D140" s="46"/>
      <c r="E140" s="46"/>
      <c r="F140" s="138"/>
      <c r="G140" s="129"/>
      <c r="H140" s="180"/>
      <c r="I140" s="5">
        <f>(Materiais[[#This Row],[Qtde.]]*Materiais[[#This Row],[Custo Unitário
Sem Tributos (R$)]])</f>
        <v>0</v>
      </c>
      <c r="J140" s="92">
        <v>0</v>
      </c>
      <c r="K140" s="140">
        <f>Materiais[[#This Row],[Custo Total
Sem Tributos (R$)]]*Materiais[[#This Row],[IPI
(%)]]+Materiais[[#This Row],[Custo Total
Sem Tributos (R$)]]</f>
        <v>0</v>
      </c>
      <c r="L140" s="92">
        <v>0.1</v>
      </c>
      <c r="M140" s="76">
        <f>Materiais[[#This Row],[Custo Total
Com IPI (R$)]]/(1-Materiais[[#This Row],[Margem
(%)]])</f>
        <v>0</v>
      </c>
      <c r="N140" s="16">
        <f>Materiais[[#This Row],[Valor Venda c/ Potencial Desconto  em Material (R$)]]-Materiais[[#This Row],[Custo Total
Com IPI (R$)]]</f>
        <v>0</v>
      </c>
      <c r="O140" s="93">
        <f>Materiais[[#This Row],[Valor Total
Com Margem
Sem Tributos   (R$)]]/(1-('Valores Finais'!$C$10))</f>
        <v>0</v>
      </c>
      <c r="P140" s="93">
        <f>Materiais[[#This Row],[Valor Venda c/ Potencial Desconto  em Material (R$)]]/(1-('Valores Finais'!$B$6))</f>
        <v>0</v>
      </c>
      <c r="Q140" s="84">
        <f>'Valores Finais'!$B$10</f>
        <v>0.12</v>
      </c>
      <c r="R140" s="76">
        <f>Materiais[[#This Row],[Valor Venda c/ Comissões (R$)]]/(1-Materiais[[#This Row],[Tributos
(%)]])-Materiais[[#This Row],[Valor Venda c/ Comissões (R$)]]</f>
        <v>0</v>
      </c>
      <c r="S140" s="76">
        <f>Materiais[[#This Row],[Valor Venda c/ Comissões (R$)]]+Materiais[[#This Row],[Tributos
(R$)]]</f>
        <v>0</v>
      </c>
      <c r="T140" s="185"/>
      <c r="U140" s="186">
        <f ca="1">IF(Materiais[[#This Row],[Data Update]] = "",0,IF(_xlfn.DAYS(NOW(),Materiais[[#This Row],[Data Update]])&lt;=0,0,_xlfn.DAYS(NOW(),Materiais[[#This Row],[Data Update]])))</f>
        <v>0</v>
      </c>
    </row>
    <row r="141" spans="1:21" x14ac:dyDescent="0.2">
      <c r="A141" s="46"/>
      <c r="B141" s="46"/>
      <c r="C141" s="46"/>
      <c r="D141" s="46"/>
      <c r="E141" s="46"/>
      <c r="F141" s="138"/>
      <c r="G141" s="129"/>
      <c r="H141" s="180"/>
      <c r="I141" s="5">
        <f>(Materiais[[#This Row],[Qtde.]]*Materiais[[#This Row],[Custo Unitário
Sem Tributos (R$)]])</f>
        <v>0</v>
      </c>
      <c r="J141" s="92">
        <v>0</v>
      </c>
      <c r="K141" s="140">
        <f>Materiais[[#This Row],[Custo Total
Sem Tributos (R$)]]*Materiais[[#This Row],[IPI
(%)]]+Materiais[[#This Row],[Custo Total
Sem Tributos (R$)]]</f>
        <v>0</v>
      </c>
      <c r="L141" s="92">
        <v>0.1</v>
      </c>
      <c r="M141" s="76">
        <f>Materiais[[#This Row],[Custo Total
Com IPI (R$)]]/(1-Materiais[[#This Row],[Margem
(%)]])</f>
        <v>0</v>
      </c>
      <c r="N141" s="16">
        <f>Materiais[[#This Row],[Valor Venda c/ Potencial Desconto  em Material (R$)]]-Materiais[[#This Row],[Custo Total
Com IPI (R$)]]</f>
        <v>0</v>
      </c>
      <c r="O141" s="93">
        <f>Materiais[[#This Row],[Valor Total
Com Margem
Sem Tributos   (R$)]]/(1-('Valores Finais'!$C$10))</f>
        <v>0</v>
      </c>
      <c r="P141" s="93">
        <f>Materiais[[#This Row],[Valor Venda c/ Potencial Desconto  em Material (R$)]]/(1-('Valores Finais'!$B$6))</f>
        <v>0</v>
      </c>
      <c r="Q141" s="84">
        <f>'Valores Finais'!$B$10</f>
        <v>0.12</v>
      </c>
      <c r="R141" s="76">
        <f>Materiais[[#This Row],[Valor Venda c/ Comissões (R$)]]/(1-Materiais[[#This Row],[Tributos
(%)]])-Materiais[[#This Row],[Valor Venda c/ Comissões (R$)]]</f>
        <v>0</v>
      </c>
      <c r="S141" s="76">
        <f>Materiais[[#This Row],[Valor Venda c/ Comissões (R$)]]+Materiais[[#This Row],[Tributos
(R$)]]</f>
        <v>0</v>
      </c>
      <c r="T141" s="185"/>
      <c r="U141" s="186">
        <f ca="1">IF(Materiais[[#This Row],[Data Update]] = "",0,IF(_xlfn.DAYS(NOW(),Materiais[[#This Row],[Data Update]])&lt;=0,0,_xlfn.DAYS(NOW(),Materiais[[#This Row],[Data Update]])))</f>
        <v>0</v>
      </c>
    </row>
    <row r="142" spans="1:21" x14ac:dyDescent="0.2">
      <c r="A142" s="46"/>
      <c r="B142" s="46"/>
      <c r="C142" s="46"/>
      <c r="D142" s="46"/>
      <c r="E142" s="46"/>
      <c r="F142" s="138"/>
      <c r="G142" s="129"/>
      <c r="H142" s="180"/>
      <c r="I142" s="5">
        <f>(Materiais[[#This Row],[Qtde.]]*Materiais[[#This Row],[Custo Unitário
Sem Tributos (R$)]])</f>
        <v>0</v>
      </c>
      <c r="J142" s="92">
        <v>0</v>
      </c>
      <c r="K142" s="140">
        <f>Materiais[[#This Row],[Custo Total
Sem Tributos (R$)]]*Materiais[[#This Row],[IPI
(%)]]+Materiais[[#This Row],[Custo Total
Sem Tributos (R$)]]</f>
        <v>0</v>
      </c>
      <c r="L142" s="92">
        <v>0.1</v>
      </c>
      <c r="M142" s="76">
        <f>Materiais[[#This Row],[Custo Total
Com IPI (R$)]]/(1-Materiais[[#This Row],[Margem
(%)]])</f>
        <v>0</v>
      </c>
      <c r="N142" s="16">
        <f>Materiais[[#This Row],[Valor Venda c/ Potencial Desconto  em Material (R$)]]-Materiais[[#This Row],[Custo Total
Com IPI (R$)]]</f>
        <v>0</v>
      </c>
      <c r="O142" s="93">
        <f>Materiais[[#This Row],[Valor Total
Com Margem
Sem Tributos   (R$)]]/(1-('Valores Finais'!$C$10))</f>
        <v>0</v>
      </c>
      <c r="P142" s="93">
        <f>Materiais[[#This Row],[Valor Venda c/ Potencial Desconto  em Material (R$)]]/(1-('Valores Finais'!$B$6))</f>
        <v>0</v>
      </c>
      <c r="Q142" s="84">
        <f>'Valores Finais'!$B$10</f>
        <v>0.12</v>
      </c>
      <c r="R142" s="76">
        <f>Materiais[[#This Row],[Valor Venda c/ Comissões (R$)]]/(1-Materiais[[#This Row],[Tributos
(%)]])-Materiais[[#This Row],[Valor Venda c/ Comissões (R$)]]</f>
        <v>0</v>
      </c>
      <c r="S142" s="76">
        <f>Materiais[[#This Row],[Valor Venda c/ Comissões (R$)]]+Materiais[[#This Row],[Tributos
(R$)]]</f>
        <v>0</v>
      </c>
      <c r="T142" s="185"/>
      <c r="U142" s="186">
        <f ca="1">IF(Materiais[[#This Row],[Data Update]] = "",0,IF(_xlfn.DAYS(NOW(),Materiais[[#This Row],[Data Update]])&lt;=0,0,_xlfn.DAYS(NOW(),Materiais[[#This Row],[Data Update]])))</f>
        <v>0</v>
      </c>
    </row>
    <row r="143" spans="1:21" x14ac:dyDescent="0.2">
      <c r="A143" s="46"/>
      <c r="B143" s="46"/>
      <c r="C143" s="46"/>
      <c r="D143" s="46"/>
      <c r="E143" s="46"/>
      <c r="F143" s="138"/>
      <c r="G143" s="129"/>
      <c r="H143" s="180"/>
      <c r="I143" s="5">
        <f>(Materiais[[#This Row],[Qtde.]]*Materiais[[#This Row],[Custo Unitário
Sem Tributos (R$)]])</f>
        <v>0</v>
      </c>
      <c r="J143" s="92">
        <v>0</v>
      </c>
      <c r="K143" s="140">
        <f>Materiais[[#This Row],[Custo Total
Sem Tributos (R$)]]*Materiais[[#This Row],[IPI
(%)]]+Materiais[[#This Row],[Custo Total
Sem Tributos (R$)]]</f>
        <v>0</v>
      </c>
      <c r="L143" s="92">
        <v>0.1</v>
      </c>
      <c r="M143" s="76">
        <f>Materiais[[#This Row],[Custo Total
Com IPI (R$)]]/(1-Materiais[[#This Row],[Margem
(%)]])</f>
        <v>0</v>
      </c>
      <c r="N143" s="16">
        <f>Materiais[[#This Row],[Valor Venda c/ Potencial Desconto  em Material (R$)]]-Materiais[[#This Row],[Custo Total
Com IPI (R$)]]</f>
        <v>0</v>
      </c>
      <c r="O143" s="93">
        <f>Materiais[[#This Row],[Valor Total
Com Margem
Sem Tributos   (R$)]]/(1-('Valores Finais'!$C$10))</f>
        <v>0</v>
      </c>
      <c r="P143" s="93">
        <f>Materiais[[#This Row],[Valor Venda c/ Potencial Desconto  em Material (R$)]]/(1-('Valores Finais'!$B$6))</f>
        <v>0</v>
      </c>
      <c r="Q143" s="84">
        <f>'Valores Finais'!$B$10</f>
        <v>0.12</v>
      </c>
      <c r="R143" s="76">
        <f>Materiais[[#This Row],[Valor Venda c/ Comissões (R$)]]/(1-Materiais[[#This Row],[Tributos
(%)]])-Materiais[[#This Row],[Valor Venda c/ Comissões (R$)]]</f>
        <v>0</v>
      </c>
      <c r="S143" s="76">
        <f>Materiais[[#This Row],[Valor Venda c/ Comissões (R$)]]+Materiais[[#This Row],[Tributos
(R$)]]</f>
        <v>0</v>
      </c>
      <c r="T143" s="185"/>
      <c r="U143" s="186">
        <f ca="1">IF(Materiais[[#This Row],[Data Update]] = "",0,IF(_xlfn.DAYS(NOW(),Materiais[[#This Row],[Data Update]])&lt;=0,0,_xlfn.DAYS(NOW(),Materiais[[#This Row],[Data Update]])))</f>
        <v>0</v>
      </c>
    </row>
    <row r="144" spans="1:21" x14ac:dyDescent="0.2">
      <c r="A144" s="46"/>
      <c r="B144" s="46"/>
      <c r="C144" s="46"/>
      <c r="D144" s="46"/>
      <c r="E144" s="46"/>
      <c r="F144" s="138"/>
      <c r="G144" s="129"/>
      <c r="H144" s="180"/>
      <c r="I144" s="5">
        <f>(Materiais[[#This Row],[Qtde.]]*Materiais[[#This Row],[Custo Unitário
Sem Tributos (R$)]])</f>
        <v>0</v>
      </c>
      <c r="J144" s="92">
        <v>0</v>
      </c>
      <c r="K144" s="140">
        <f>Materiais[[#This Row],[Custo Total
Sem Tributos (R$)]]*Materiais[[#This Row],[IPI
(%)]]+Materiais[[#This Row],[Custo Total
Sem Tributos (R$)]]</f>
        <v>0</v>
      </c>
      <c r="L144" s="92">
        <v>0.1</v>
      </c>
      <c r="M144" s="76">
        <f>Materiais[[#This Row],[Custo Total
Com IPI (R$)]]/(1-Materiais[[#This Row],[Margem
(%)]])</f>
        <v>0</v>
      </c>
      <c r="N144" s="16">
        <f>Materiais[[#This Row],[Valor Venda c/ Potencial Desconto  em Material (R$)]]-Materiais[[#This Row],[Custo Total
Com IPI (R$)]]</f>
        <v>0</v>
      </c>
      <c r="O144" s="93">
        <f>Materiais[[#This Row],[Valor Total
Com Margem
Sem Tributos   (R$)]]/(1-('Valores Finais'!$C$10))</f>
        <v>0</v>
      </c>
      <c r="P144" s="93">
        <f>Materiais[[#This Row],[Valor Venda c/ Potencial Desconto  em Material (R$)]]/(1-('Valores Finais'!$B$6))</f>
        <v>0</v>
      </c>
      <c r="Q144" s="84">
        <f>'Valores Finais'!$B$10</f>
        <v>0.12</v>
      </c>
      <c r="R144" s="76">
        <f>Materiais[[#This Row],[Valor Venda c/ Comissões (R$)]]/(1-Materiais[[#This Row],[Tributos
(%)]])-Materiais[[#This Row],[Valor Venda c/ Comissões (R$)]]</f>
        <v>0</v>
      </c>
      <c r="S144" s="76">
        <f>Materiais[[#This Row],[Valor Venda c/ Comissões (R$)]]+Materiais[[#This Row],[Tributos
(R$)]]</f>
        <v>0</v>
      </c>
      <c r="T144" s="185"/>
      <c r="U144" s="186">
        <f ca="1">IF(Materiais[[#This Row],[Data Update]] = "",0,IF(_xlfn.DAYS(NOW(),Materiais[[#This Row],[Data Update]])&lt;=0,0,_xlfn.DAYS(NOW(),Materiais[[#This Row],[Data Update]])))</f>
        <v>0</v>
      </c>
    </row>
    <row r="145" spans="1:21" x14ac:dyDescent="0.2">
      <c r="A145" s="46"/>
      <c r="B145" s="46"/>
      <c r="C145" s="46"/>
      <c r="D145" s="46"/>
      <c r="E145" s="46"/>
      <c r="F145" s="138"/>
      <c r="G145" s="129"/>
      <c r="H145" s="180"/>
      <c r="I145" s="5">
        <f>(Materiais[[#This Row],[Qtde.]]*Materiais[[#This Row],[Custo Unitário
Sem Tributos (R$)]])</f>
        <v>0</v>
      </c>
      <c r="J145" s="92">
        <v>0</v>
      </c>
      <c r="K145" s="140">
        <f>Materiais[[#This Row],[Custo Total
Sem Tributos (R$)]]*Materiais[[#This Row],[IPI
(%)]]+Materiais[[#This Row],[Custo Total
Sem Tributos (R$)]]</f>
        <v>0</v>
      </c>
      <c r="L145" s="92">
        <v>0.1</v>
      </c>
      <c r="M145" s="76">
        <f>Materiais[[#This Row],[Custo Total
Com IPI (R$)]]/(1-Materiais[[#This Row],[Margem
(%)]])</f>
        <v>0</v>
      </c>
      <c r="N145" s="16">
        <f>Materiais[[#This Row],[Valor Venda c/ Potencial Desconto  em Material (R$)]]-Materiais[[#This Row],[Custo Total
Com IPI (R$)]]</f>
        <v>0</v>
      </c>
      <c r="O145" s="93">
        <f>Materiais[[#This Row],[Valor Total
Com Margem
Sem Tributos   (R$)]]/(1-('Valores Finais'!$C$10))</f>
        <v>0</v>
      </c>
      <c r="P145" s="93">
        <f>Materiais[[#This Row],[Valor Venda c/ Potencial Desconto  em Material (R$)]]/(1-('Valores Finais'!$B$6))</f>
        <v>0</v>
      </c>
      <c r="Q145" s="84">
        <f>'Valores Finais'!$B$10</f>
        <v>0.12</v>
      </c>
      <c r="R145" s="76">
        <f>Materiais[[#This Row],[Valor Venda c/ Comissões (R$)]]/(1-Materiais[[#This Row],[Tributos
(%)]])-Materiais[[#This Row],[Valor Venda c/ Comissões (R$)]]</f>
        <v>0</v>
      </c>
      <c r="S145" s="76">
        <f>Materiais[[#This Row],[Valor Venda c/ Comissões (R$)]]+Materiais[[#This Row],[Tributos
(R$)]]</f>
        <v>0</v>
      </c>
      <c r="T145" s="185"/>
      <c r="U145" s="186">
        <f ca="1">IF(Materiais[[#This Row],[Data Update]] = "",0,IF(_xlfn.DAYS(NOW(),Materiais[[#This Row],[Data Update]])&lt;=0,0,_xlfn.DAYS(NOW(),Materiais[[#This Row],[Data Update]])))</f>
        <v>0</v>
      </c>
    </row>
    <row r="146" spans="1:21" x14ac:dyDescent="0.2">
      <c r="A146" s="46"/>
      <c r="B146" s="46"/>
      <c r="C146" s="46"/>
      <c r="D146" s="46"/>
      <c r="E146" s="46"/>
      <c r="F146" s="138"/>
      <c r="G146" s="129"/>
      <c r="H146" s="180"/>
      <c r="I146" s="5">
        <f>(Materiais[[#This Row],[Qtde.]]*Materiais[[#This Row],[Custo Unitário
Sem Tributos (R$)]])</f>
        <v>0</v>
      </c>
      <c r="J146" s="92">
        <v>0</v>
      </c>
      <c r="K146" s="140">
        <f>Materiais[[#This Row],[Custo Total
Sem Tributos (R$)]]*Materiais[[#This Row],[IPI
(%)]]+Materiais[[#This Row],[Custo Total
Sem Tributos (R$)]]</f>
        <v>0</v>
      </c>
      <c r="L146" s="92">
        <v>0.1</v>
      </c>
      <c r="M146" s="76">
        <f>Materiais[[#This Row],[Custo Total
Com IPI (R$)]]/(1-Materiais[[#This Row],[Margem
(%)]])</f>
        <v>0</v>
      </c>
      <c r="N146" s="16">
        <f>Materiais[[#This Row],[Valor Venda c/ Potencial Desconto  em Material (R$)]]-Materiais[[#This Row],[Custo Total
Com IPI (R$)]]</f>
        <v>0</v>
      </c>
      <c r="O146" s="93">
        <f>Materiais[[#This Row],[Valor Total
Com Margem
Sem Tributos   (R$)]]/(1-('Valores Finais'!$C$10))</f>
        <v>0</v>
      </c>
      <c r="P146" s="93">
        <f>Materiais[[#This Row],[Valor Venda c/ Potencial Desconto  em Material (R$)]]/(1-('Valores Finais'!$B$6))</f>
        <v>0</v>
      </c>
      <c r="Q146" s="84">
        <f>'Valores Finais'!$B$10</f>
        <v>0.12</v>
      </c>
      <c r="R146" s="76">
        <f>Materiais[[#This Row],[Valor Venda c/ Comissões (R$)]]/(1-Materiais[[#This Row],[Tributos
(%)]])-Materiais[[#This Row],[Valor Venda c/ Comissões (R$)]]</f>
        <v>0</v>
      </c>
      <c r="S146" s="76">
        <f>Materiais[[#This Row],[Valor Venda c/ Comissões (R$)]]+Materiais[[#This Row],[Tributos
(R$)]]</f>
        <v>0</v>
      </c>
      <c r="T146" s="185"/>
      <c r="U146" s="186">
        <f ca="1">IF(Materiais[[#This Row],[Data Update]] = "",0,IF(_xlfn.DAYS(NOW(),Materiais[[#This Row],[Data Update]])&lt;=0,0,_xlfn.DAYS(NOW(),Materiais[[#This Row],[Data Update]])))</f>
        <v>0</v>
      </c>
    </row>
    <row r="147" spans="1:21" x14ac:dyDescent="0.2">
      <c r="A147" s="46"/>
      <c r="B147" s="46"/>
      <c r="C147" s="46"/>
      <c r="D147" s="46"/>
      <c r="E147" s="46"/>
      <c r="F147" s="138"/>
      <c r="G147" s="129"/>
      <c r="H147" s="180"/>
      <c r="I147" s="5">
        <f>(Materiais[[#This Row],[Qtde.]]*Materiais[[#This Row],[Custo Unitário
Sem Tributos (R$)]])</f>
        <v>0</v>
      </c>
      <c r="J147" s="92">
        <v>0</v>
      </c>
      <c r="K147" s="140">
        <f>Materiais[[#This Row],[Custo Total
Sem Tributos (R$)]]*Materiais[[#This Row],[IPI
(%)]]+Materiais[[#This Row],[Custo Total
Sem Tributos (R$)]]</f>
        <v>0</v>
      </c>
      <c r="L147" s="92">
        <v>0.1</v>
      </c>
      <c r="M147" s="76">
        <f>Materiais[[#This Row],[Custo Total
Com IPI (R$)]]/(1-Materiais[[#This Row],[Margem
(%)]])</f>
        <v>0</v>
      </c>
      <c r="N147" s="16">
        <f>Materiais[[#This Row],[Valor Venda c/ Potencial Desconto  em Material (R$)]]-Materiais[[#This Row],[Custo Total
Com IPI (R$)]]</f>
        <v>0</v>
      </c>
      <c r="O147" s="93">
        <f>Materiais[[#This Row],[Valor Total
Com Margem
Sem Tributos   (R$)]]/(1-('Valores Finais'!$C$10))</f>
        <v>0</v>
      </c>
      <c r="P147" s="93">
        <f>Materiais[[#This Row],[Valor Venda c/ Potencial Desconto  em Material (R$)]]/(1-('Valores Finais'!$B$6))</f>
        <v>0</v>
      </c>
      <c r="Q147" s="84">
        <f>'Valores Finais'!$B$10</f>
        <v>0.12</v>
      </c>
      <c r="R147" s="76">
        <f>Materiais[[#This Row],[Valor Venda c/ Comissões (R$)]]/(1-Materiais[[#This Row],[Tributos
(%)]])-Materiais[[#This Row],[Valor Venda c/ Comissões (R$)]]</f>
        <v>0</v>
      </c>
      <c r="S147" s="76">
        <f>Materiais[[#This Row],[Valor Venda c/ Comissões (R$)]]+Materiais[[#This Row],[Tributos
(R$)]]</f>
        <v>0</v>
      </c>
      <c r="T147" s="185"/>
      <c r="U147" s="186">
        <f ca="1">IF(Materiais[[#This Row],[Data Update]] = "",0,IF(_xlfn.DAYS(NOW(),Materiais[[#This Row],[Data Update]])&lt;=0,0,_xlfn.DAYS(NOW(),Materiais[[#This Row],[Data Update]])))</f>
        <v>0</v>
      </c>
    </row>
    <row r="148" spans="1:21" x14ac:dyDescent="0.2">
      <c r="A148" s="46"/>
      <c r="B148" s="46"/>
      <c r="C148" s="46"/>
      <c r="D148" s="46"/>
      <c r="E148" s="46"/>
      <c r="F148" s="138"/>
      <c r="G148" s="129"/>
      <c r="H148" s="180"/>
      <c r="I148" s="5">
        <f>(Materiais[[#This Row],[Qtde.]]*Materiais[[#This Row],[Custo Unitário
Sem Tributos (R$)]])</f>
        <v>0</v>
      </c>
      <c r="J148" s="92">
        <v>0</v>
      </c>
      <c r="K148" s="140">
        <f>Materiais[[#This Row],[Custo Total
Sem Tributos (R$)]]*Materiais[[#This Row],[IPI
(%)]]+Materiais[[#This Row],[Custo Total
Sem Tributos (R$)]]</f>
        <v>0</v>
      </c>
      <c r="L148" s="92">
        <v>0.1</v>
      </c>
      <c r="M148" s="76">
        <f>Materiais[[#This Row],[Custo Total
Com IPI (R$)]]/(1-Materiais[[#This Row],[Margem
(%)]])</f>
        <v>0</v>
      </c>
      <c r="N148" s="16">
        <f>Materiais[[#This Row],[Valor Venda c/ Potencial Desconto  em Material (R$)]]-Materiais[[#This Row],[Custo Total
Com IPI (R$)]]</f>
        <v>0</v>
      </c>
      <c r="O148" s="93">
        <f>Materiais[[#This Row],[Valor Total
Com Margem
Sem Tributos   (R$)]]/(1-('Valores Finais'!$C$10))</f>
        <v>0</v>
      </c>
      <c r="P148" s="93">
        <f>Materiais[[#This Row],[Valor Venda c/ Potencial Desconto  em Material (R$)]]/(1-('Valores Finais'!$B$6))</f>
        <v>0</v>
      </c>
      <c r="Q148" s="84">
        <f>'Valores Finais'!$B$10</f>
        <v>0.12</v>
      </c>
      <c r="R148" s="76">
        <f>Materiais[[#This Row],[Valor Venda c/ Comissões (R$)]]/(1-Materiais[[#This Row],[Tributos
(%)]])-Materiais[[#This Row],[Valor Venda c/ Comissões (R$)]]</f>
        <v>0</v>
      </c>
      <c r="S148" s="76">
        <f>Materiais[[#This Row],[Valor Venda c/ Comissões (R$)]]+Materiais[[#This Row],[Tributos
(R$)]]</f>
        <v>0</v>
      </c>
      <c r="T148" s="185"/>
      <c r="U148" s="186">
        <f ca="1">IF(Materiais[[#This Row],[Data Update]] = "",0,IF(_xlfn.DAYS(NOW(),Materiais[[#This Row],[Data Update]])&lt;=0,0,_xlfn.DAYS(NOW(),Materiais[[#This Row],[Data Update]])))</f>
        <v>0</v>
      </c>
    </row>
    <row r="149" spans="1:21" x14ac:dyDescent="0.2">
      <c r="A149" s="46"/>
      <c r="B149" s="46"/>
      <c r="C149" s="46"/>
      <c r="D149" s="46"/>
      <c r="E149" s="46"/>
      <c r="F149" s="138"/>
      <c r="G149" s="129"/>
      <c r="H149" s="180"/>
      <c r="I149" s="5">
        <f>(Materiais[[#This Row],[Qtde.]]*Materiais[[#This Row],[Custo Unitário
Sem Tributos (R$)]])</f>
        <v>0</v>
      </c>
      <c r="J149" s="92">
        <v>0</v>
      </c>
      <c r="K149" s="140">
        <f>Materiais[[#This Row],[Custo Total
Sem Tributos (R$)]]*Materiais[[#This Row],[IPI
(%)]]+Materiais[[#This Row],[Custo Total
Sem Tributos (R$)]]</f>
        <v>0</v>
      </c>
      <c r="L149" s="92">
        <v>0.1</v>
      </c>
      <c r="M149" s="76">
        <f>Materiais[[#This Row],[Custo Total
Com IPI (R$)]]/(1-Materiais[[#This Row],[Margem
(%)]])</f>
        <v>0</v>
      </c>
      <c r="N149" s="16">
        <f>Materiais[[#This Row],[Valor Venda c/ Potencial Desconto  em Material (R$)]]-Materiais[[#This Row],[Custo Total
Com IPI (R$)]]</f>
        <v>0</v>
      </c>
      <c r="O149" s="93">
        <f>Materiais[[#This Row],[Valor Total
Com Margem
Sem Tributos   (R$)]]/(1-('Valores Finais'!$C$10))</f>
        <v>0</v>
      </c>
      <c r="P149" s="93">
        <f>Materiais[[#This Row],[Valor Venda c/ Potencial Desconto  em Material (R$)]]/(1-('Valores Finais'!$B$6))</f>
        <v>0</v>
      </c>
      <c r="Q149" s="84">
        <f>'Valores Finais'!$B$10</f>
        <v>0.12</v>
      </c>
      <c r="R149" s="76">
        <f>Materiais[[#This Row],[Valor Venda c/ Comissões (R$)]]/(1-Materiais[[#This Row],[Tributos
(%)]])-Materiais[[#This Row],[Valor Venda c/ Comissões (R$)]]</f>
        <v>0</v>
      </c>
      <c r="S149" s="76">
        <f>Materiais[[#This Row],[Valor Venda c/ Comissões (R$)]]+Materiais[[#This Row],[Tributos
(R$)]]</f>
        <v>0</v>
      </c>
      <c r="T149" s="185"/>
      <c r="U149" s="186">
        <f ca="1">IF(Materiais[[#This Row],[Data Update]] = "",0,IF(_xlfn.DAYS(NOW(),Materiais[[#This Row],[Data Update]])&lt;=0,0,_xlfn.DAYS(NOW(),Materiais[[#This Row],[Data Update]])))</f>
        <v>0</v>
      </c>
    </row>
    <row r="150" spans="1:21" x14ac:dyDescent="0.2">
      <c r="A150" s="46"/>
      <c r="B150" s="46"/>
      <c r="C150" s="46"/>
      <c r="D150" s="46"/>
      <c r="E150" s="46"/>
      <c r="F150" s="138"/>
      <c r="G150" s="129"/>
      <c r="H150" s="180"/>
      <c r="I150" s="5">
        <f>(Materiais[[#This Row],[Qtde.]]*Materiais[[#This Row],[Custo Unitário
Sem Tributos (R$)]])</f>
        <v>0</v>
      </c>
      <c r="J150" s="92">
        <v>0</v>
      </c>
      <c r="K150" s="140">
        <f>Materiais[[#This Row],[Custo Total
Sem Tributos (R$)]]*Materiais[[#This Row],[IPI
(%)]]+Materiais[[#This Row],[Custo Total
Sem Tributos (R$)]]</f>
        <v>0</v>
      </c>
      <c r="L150" s="92">
        <v>0.1</v>
      </c>
      <c r="M150" s="76">
        <f>Materiais[[#This Row],[Custo Total
Com IPI (R$)]]/(1-Materiais[[#This Row],[Margem
(%)]])</f>
        <v>0</v>
      </c>
      <c r="N150" s="16">
        <f>Materiais[[#This Row],[Valor Venda c/ Potencial Desconto  em Material (R$)]]-Materiais[[#This Row],[Custo Total
Com IPI (R$)]]</f>
        <v>0</v>
      </c>
      <c r="O150" s="93">
        <f>Materiais[[#This Row],[Valor Total
Com Margem
Sem Tributos   (R$)]]/(1-('Valores Finais'!$C$10))</f>
        <v>0</v>
      </c>
      <c r="P150" s="93">
        <f>Materiais[[#This Row],[Valor Venda c/ Potencial Desconto  em Material (R$)]]/(1-('Valores Finais'!$B$6))</f>
        <v>0</v>
      </c>
      <c r="Q150" s="84">
        <f>'Valores Finais'!$B$10</f>
        <v>0.12</v>
      </c>
      <c r="R150" s="76">
        <f>Materiais[[#This Row],[Valor Venda c/ Comissões (R$)]]/(1-Materiais[[#This Row],[Tributos
(%)]])-Materiais[[#This Row],[Valor Venda c/ Comissões (R$)]]</f>
        <v>0</v>
      </c>
      <c r="S150" s="76">
        <f>Materiais[[#This Row],[Valor Venda c/ Comissões (R$)]]+Materiais[[#This Row],[Tributos
(R$)]]</f>
        <v>0</v>
      </c>
      <c r="T150" s="185"/>
      <c r="U150" s="186">
        <f ca="1">IF(Materiais[[#This Row],[Data Update]] = "",0,IF(_xlfn.DAYS(NOW(),Materiais[[#This Row],[Data Update]])&lt;=0,0,_xlfn.DAYS(NOW(),Materiais[[#This Row],[Data Update]])))</f>
        <v>0</v>
      </c>
    </row>
    <row r="151" spans="1:21" x14ac:dyDescent="0.2">
      <c r="A151" s="46"/>
      <c r="B151" s="46"/>
      <c r="C151" s="46"/>
      <c r="D151" s="46"/>
      <c r="E151" s="46"/>
      <c r="F151" s="138"/>
      <c r="G151" s="129"/>
      <c r="H151" s="180"/>
      <c r="I151" s="5">
        <f>(Materiais[[#This Row],[Qtde.]]*Materiais[[#This Row],[Custo Unitário
Sem Tributos (R$)]])</f>
        <v>0</v>
      </c>
      <c r="J151" s="92">
        <v>0</v>
      </c>
      <c r="K151" s="140">
        <f>Materiais[[#This Row],[Custo Total
Sem Tributos (R$)]]*Materiais[[#This Row],[IPI
(%)]]+Materiais[[#This Row],[Custo Total
Sem Tributos (R$)]]</f>
        <v>0</v>
      </c>
      <c r="L151" s="92">
        <v>0.1</v>
      </c>
      <c r="M151" s="76">
        <f>Materiais[[#This Row],[Custo Total
Com IPI (R$)]]/(1-Materiais[[#This Row],[Margem
(%)]])</f>
        <v>0</v>
      </c>
      <c r="N151" s="16">
        <f>Materiais[[#This Row],[Valor Venda c/ Potencial Desconto  em Material (R$)]]-Materiais[[#This Row],[Custo Total
Com IPI (R$)]]</f>
        <v>0</v>
      </c>
      <c r="O151" s="93">
        <f>Materiais[[#This Row],[Valor Total
Com Margem
Sem Tributos   (R$)]]/(1-('Valores Finais'!$C$10))</f>
        <v>0</v>
      </c>
      <c r="P151" s="93">
        <f>Materiais[[#This Row],[Valor Venda c/ Potencial Desconto  em Material (R$)]]/(1-('Valores Finais'!$B$6))</f>
        <v>0</v>
      </c>
      <c r="Q151" s="84">
        <f>'Valores Finais'!$B$10</f>
        <v>0.12</v>
      </c>
      <c r="R151" s="76">
        <f>Materiais[[#This Row],[Valor Venda c/ Comissões (R$)]]/(1-Materiais[[#This Row],[Tributos
(%)]])-Materiais[[#This Row],[Valor Venda c/ Comissões (R$)]]</f>
        <v>0</v>
      </c>
      <c r="S151" s="76">
        <f>Materiais[[#This Row],[Valor Venda c/ Comissões (R$)]]+Materiais[[#This Row],[Tributos
(R$)]]</f>
        <v>0</v>
      </c>
      <c r="T151" s="185"/>
      <c r="U151" s="186">
        <f ca="1">IF(Materiais[[#This Row],[Data Update]] = "",0,IF(_xlfn.DAYS(NOW(),Materiais[[#This Row],[Data Update]])&lt;=0,0,_xlfn.DAYS(NOW(),Materiais[[#This Row],[Data Update]])))</f>
        <v>0</v>
      </c>
    </row>
    <row r="152" spans="1:21" x14ac:dyDescent="0.2">
      <c r="A152" s="46"/>
      <c r="B152" s="46"/>
      <c r="C152" s="46"/>
      <c r="D152" s="46"/>
      <c r="E152" s="46"/>
      <c r="F152" s="138"/>
      <c r="G152" s="129"/>
      <c r="H152" s="180"/>
      <c r="I152" s="5">
        <f>(Materiais[[#This Row],[Qtde.]]*Materiais[[#This Row],[Custo Unitário
Sem Tributos (R$)]])</f>
        <v>0</v>
      </c>
      <c r="J152" s="92">
        <v>0</v>
      </c>
      <c r="K152" s="140">
        <f>Materiais[[#This Row],[Custo Total
Sem Tributos (R$)]]*Materiais[[#This Row],[IPI
(%)]]+Materiais[[#This Row],[Custo Total
Sem Tributos (R$)]]</f>
        <v>0</v>
      </c>
      <c r="L152" s="92">
        <v>0.1</v>
      </c>
      <c r="M152" s="76">
        <f>Materiais[[#This Row],[Custo Total
Com IPI (R$)]]/(1-Materiais[[#This Row],[Margem
(%)]])</f>
        <v>0</v>
      </c>
      <c r="N152" s="16">
        <f>Materiais[[#This Row],[Valor Venda c/ Potencial Desconto  em Material (R$)]]-Materiais[[#This Row],[Custo Total
Com IPI (R$)]]</f>
        <v>0</v>
      </c>
      <c r="O152" s="93">
        <f>Materiais[[#This Row],[Valor Total
Com Margem
Sem Tributos   (R$)]]/(1-('Valores Finais'!$C$10))</f>
        <v>0</v>
      </c>
      <c r="P152" s="93">
        <f>Materiais[[#This Row],[Valor Venda c/ Potencial Desconto  em Material (R$)]]/(1-('Valores Finais'!$B$6))</f>
        <v>0</v>
      </c>
      <c r="Q152" s="84">
        <f>'Valores Finais'!$B$10</f>
        <v>0.12</v>
      </c>
      <c r="R152" s="76">
        <f>Materiais[[#This Row],[Valor Venda c/ Comissões (R$)]]/(1-Materiais[[#This Row],[Tributos
(%)]])-Materiais[[#This Row],[Valor Venda c/ Comissões (R$)]]</f>
        <v>0</v>
      </c>
      <c r="S152" s="76">
        <f>Materiais[[#This Row],[Valor Venda c/ Comissões (R$)]]+Materiais[[#This Row],[Tributos
(R$)]]</f>
        <v>0</v>
      </c>
      <c r="T152" s="185"/>
      <c r="U152" s="186">
        <f ca="1">IF(Materiais[[#This Row],[Data Update]] = "",0,IF(_xlfn.DAYS(NOW(),Materiais[[#This Row],[Data Update]])&lt;=0,0,_xlfn.DAYS(NOW(),Materiais[[#This Row],[Data Update]])))</f>
        <v>0</v>
      </c>
    </row>
    <row r="153" spans="1:21" x14ac:dyDescent="0.2">
      <c r="A153" s="46"/>
      <c r="B153" s="46"/>
      <c r="C153" s="46"/>
      <c r="D153" s="46"/>
      <c r="E153" s="46"/>
      <c r="F153" s="138"/>
      <c r="G153" s="129"/>
      <c r="H153" s="180"/>
      <c r="I153" s="5">
        <f>(Materiais[[#This Row],[Qtde.]]*Materiais[[#This Row],[Custo Unitário
Sem Tributos (R$)]])</f>
        <v>0</v>
      </c>
      <c r="J153" s="92">
        <v>0</v>
      </c>
      <c r="K153" s="140">
        <f>Materiais[[#This Row],[Custo Total
Sem Tributos (R$)]]*Materiais[[#This Row],[IPI
(%)]]+Materiais[[#This Row],[Custo Total
Sem Tributos (R$)]]</f>
        <v>0</v>
      </c>
      <c r="L153" s="92">
        <v>0.1</v>
      </c>
      <c r="M153" s="76">
        <f>Materiais[[#This Row],[Custo Total
Com IPI (R$)]]/(1-Materiais[[#This Row],[Margem
(%)]])</f>
        <v>0</v>
      </c>
      <c r="N153" s="16">
        <f>Materiais[[#This Row],[Valor Venda c/ Potencial Desconto  em Material (R$)]]-Materiais[[#This Row],[Custo Total
Com IPI (R$)]]</f>
        <v>0</v>
      </c>
      <c r="O153" s="93">
        <f>Materiais[[#This Row],[Valor Total
Com Margem
Sem Tributos   (R$)]]/(1-('Valores Finais'!$C$10))</f>
        <v>0</v>
      </c>
      <c r="P153" s="93">
        <f>Materiais[[#This Row],[Valor Venda c/ Potencial Desconto  em Material (R$)]]/(1-('Valores Finais'!$B$6))</f>
        <v>0</v>
      </c>
      <c r="Q153" s="84">
        <f>'Valores Finais'!$B$10</f>
        <v>0.12</v>
      </c>
      <c r="R153" s="76">
        <f>Materiais[[#This Row],[Valor Venda c/ Comissões (R$)]]/(1-Materiais[[#This Row],[Tributos
(%)]])-Materiais[[#This Row],[Valor Venda c/ Comissões (R$)]]</f>
        <v>0</v>
      </c>
      <c r="S153" s="76">
        <f>Materiais[[#This Row],[Valor Venda c/ Comissões (R$)]]+Materiais[[#This Row],[Tributos
(R$)]]</f>
        <v>0</v>
      </c>
      <c r="T153" s="185"/>
      <c r="U153" s="186">
        <f ca="1">IF(Materiais[[#This Row],[Data Update]] = "",0,IF(_xlfn.DAYS(NOW(),Materiais[[#This Row],[Data Update]])&lt;=0,0,_xlfn.DAYS(NOW(),Materiais[[#This Row],[Data Update]])))</f>
        <v>0</v>
      </c>
    </row>
    <row r="154" spans="1:21" x14ac:dyDescent="0.2">
      <c r="A154" s="46"/>
      <c r="B154" s="46"/>
      <c r="C154" s="46"/>
      <c r="D154" s="46"/>
      <c r="E154" s="46"/>
      <c r="F154" s="138"/>
      <c r="G154" s="129"/>
      <c r="H154" s="180"/>
      <c r="I154" s="5">
        <f>(Materiais[[#This Row],[Qtde.]]*Materiais[[#This Row],[Custo Unitário
Sem Tributos (R$)]])</f>
        <v>0</v>
      </c>
      <c r="J154" s="92">
        <v>0</v>
      </c>
      <c r="K154" s="140">
        <f>Materiais[[#This Row],[Custo Total
Sem Tributos (R$)]]*Materiais[[#This Row],[IPI
(%)]]+Materiais[[#This Row],[Custo Total
Sem Tributos (R$)]]</f>
        <v>0</v>
      </c>
      <c r="L154" s="92">
        <v>0.1</v>
      </c>
      <c r="M154" s="76">
        <f>Materiais[[#This Row],[Custo Total
Com IPI (R$)]]/(1-Materiais[[#This Row],[Margem
(%)]])</f>
        <v>0</v>
      </c>
      <c r="N154" s="16">
        <f>Materiais[[#This Row],[Valor Venda c/ Potencial Desconto  em Material (R$)]]-Materiais[[#This Row],[Custo Total
Com IPI (R$)]]</f>
        <v>0</v>
      </c>
      <c r="O154" s="93">
        <f>Materiais[[#This Row],[Valor Total
Com Margem
Sem Tributos   (R$)]]/(1-('Valores Finais'!$C$10))</f>
        <v>0</v>
      </c>
      <c r="P154" s="93">
        <f>Materiais[[#This Row],[Valor Venda c/ Potencial Desconto  em Material (R$)]]/(1-('Valores Finais'!$B$6))</f>
        <v>0</v>
      </c>
      <c r="Q154" s="84">
        <f>'Valores Finais'!$B$10</f>
        <v>0.12</v>
      </c>
      <c r="R154" s="76">
        <f>Materiais[[#This Row],[Valor Venda c/ Comissões (R$)]]/(1-Materiais[[#This Row],[Tributos
(%)]])-Materiais[[#This Row],[Valor Venda c/ Comissões (R$)]]</f>
        <v>0</v>
      </c>
      <c r="S154" s="76">
        <f>Materiais[[#This Row],[Valor Venda c/ Comissões (R$)]]+Materiais[[#This Row],[Tributos
(R$)]]</f>
        <v>0</v>
      </c>
      <c r="T154" s="185"/>
      <c r="U154" s="186">
        <f ca="1">IF(Materiais[[#This Row],[Data Update]] = "",0,IF(_xlfn.DAYS(NOW(),Materiais[[#This Row],[Data Update]])&lt;=0,0,_xlfn.DAYS(NOW(),Materiais[[#This Row],[Data Update]])))</f>
        <v>0</v>
      </c>
    </row>
    <row r="155" spans="1:21" x14ac:dyDescent="0.2">
      <c r="A155" s="46"/>
      <c r="B155" s="46"/>
      <c r="C155" s="46"/>
      <c r="D155" s="46"/>
      <c r="E155" s="46"/>
      <c r="F155" s="138"/>
      <c r="G155" s="129"/>
      <c r="H155" s="180"/>
      <c r="I155" s="5">
        <f>(Materiais[[#This Row],[Qtde.]]*Materiais[[#This Row],[Custo Unitário
Sem Tributos (R$)]])</f>
        <v>0</v>
      </c>
      <c r="J155" s="92">
        <v>0</v>
      </c>
      <c r="K155" s="140">
        <f>Materiais[[#This Row],[Custo Total
Sem Tributos (R$)]]*Materiais[[#This Row],[IPI
(%)]]+Materiais[[#This Row],[Custo Total
Sem Tributos (R$)]]</f>
        <v>0</v>
      </c>
      <c r="L155" s="92">
        <v>0.1</v>
      </c>
      <c r="M155" s="76">
        <f>Materiais[[#This Row],[Custo Total
Com IPI (R$)]]/(1-Materiais[[#This Row],[Margem
(%)]])</f>
        <v>0</v>
      </c>
      <c r="N155" s="16">
        <f>Materiais[[#This Row],[Valor Venda c/ Potencial Desconto  em Material (R$)]]-Materiais[[#This Row],[Custo Total
Com IPI (R$)]]</f>
        <v>0</v>
      </c>
      <c r="O155" s="93">
        <f>Materiais[[#This Row],[Valor Total
Com Margem
Sem Tributos   (R$)]]/(1-('Valores Finais'!$C$10))</f>
        <v>0</v>
      </c>
      <c r="P155" s="93">
        <f>Materiais[[#This Row],[Valor Venda c/ Potencial Desconto  em Material (R$)]]/(1-('Valores Finais'!$B$6))</f>
        <v>0</v>
      </c>
      <c r="Q155" s="84">
        <f>'Valores Finais'!$B$10</f>
        <v>0.12</v>
      </c>
      <c r="R155" s="76">
        <f>Materiais[[#This Row],[Valor Venda c/ Comissões (R$)]]/(1-Materiais[[#This Row],[Tributos
(%)]])-Materiais[[#This Row],[Valor Venda c/ Comissões (R$)]]</f>
        <v>0</v>
      </c>
      <c r="S155" s="76">
        <f>Materiais[[#This Row],[Valor Venda c/ Comissões (R$)]]+Materiais[[#This Row],[Tributos
(R$)]]</f>
        <v>0</v>
      </c>
      <c r="T155" s="185"/>
      <c r="U155" s="186">
        <f ca="1">IF(Materiais[[#This Row],[Data Update]] = "",0,IF(_xlfn.DAYS(NOW(),Materiais[[#This Row],[Data Update]])&lt;=0,0,_xlfn.DAYS(NOW(),Materiais[[#This Row],[Data Update]])))</f>
        <v>0</v>
      </c>
    </row>
    <row r="156" spans="1:21" x14ac:dyDescent="0.2">
      <c r="A156" s="46"/>
      <c r="B156" s="46"/>
      <c r="C156" s="46"/>
      <c r="D156" s="46"/>
      <c r="E156" s="46"/>
      <c r="F156" s="138"/>
      <c r="G156" s="129"/>
      <c r="H156" s="180"/>
      <c r="I156" s="5">
        <f>(Materiais[[#This Row],[Qtde.]]*Materiais[[#This Row],[Custo Unitário
Sem Tributos (R$)]])</f>
        <v>0</v>
      </c>
      <c r="J156" s="92">
        <v>0</v>
      </c>
      <c r="K156" s="140">
        <f>Materiais[[#This Row],[Custo Total
Sem Tributos (R$)]]*Materiais[[#This Row],[IPI
(%)]]+Materiais[[#This Row],[Custo Total
Sem Tributos (R$)]]</f>
        <v>0</v>
      </c>
      <c r="L156" s="92">
        <v>0.1</v>
      </c>
      <c r="M156" s="76">
        <f>Materiais[[#This Row],[Custo Total
Com IPI (R$)]]/(1-Materiais[[#This Row],[Margem
(%)]])</f>
        <v>0</v>
      </c>
      <c r="N156" s="16">
        <f>Materiais[[#This Row],[Valor Venda c/ Potencial Desconto  em Material (R$)]]-Materiais[[#This Row],[Custo Total
Com IPI (R$)]]</f>
        <v>0</v>
      </c>
      <c r="O156" s="93">
        <f>Materiais[[#This Row],[Valor Total
Com Margem
Sem Tributos   (R$)]]/(1-('Valores Finais'!$C$10))</f>
        <v>0</v>
      </c>
      <c r="P156" s="93">
        <f>Materiais[[#This Row],[Valor Venda c/ Potencial Desconto  em Material (R$)]]/(1-('Valores Finais'!$B$6))</f>
        <v>0</v>
      </c>
      <c r="Q156" s="84">
        <f>'Valores Finais'!$B$10</f>
        <v>0.12</v>
      </c>
      <c r="R156" s="76">
        <f>Materiais[[#This Row],[Valor Venda c/ Comissões (R$)]]/(1-Materiais[[#This Row],[Tributos
(%)]])-Materiais[[#This Row],[Valor Venda c/ Comissões (R$)]]</f>
        <v>0</v>
      </c>
      <c r="S156" s="76">
        <f>Materiais[[#This Row],[Valor Venda c/ Comissões (R$)]]+Materiais[[#This Row],[Tributos
(R$)]]</f>
        <v>0</v>
      </c>
      <c r="T156" s="185"/>
      <c r="U156" s="186">
        <f ca="1">IF(Materiais[[#This Row],[Data Update]] = "",0,IF(_xlfn.DAYS(NOW(),Materiais[[#This Row],[Data Update]])&lt;=0,0,_xlfn.DAYS(NOW(),Materiais[[#This Row],[Data Update]])))</f>
        <v>0</v>
      </c>
    </row>
    <row r="157" spans="1:21" x14ac:dyDescent="0.2">
      <c r="A157" s="46"/>
      <c r="B157" s="46"/>
      <c r="C157" s="46"/>
      <c r="D157" s="46"/>
      <c r="E157" s="46"/>
      <c r="F157" s="138"/>
      <c r="G157" s="129"/>
      <c r="H157" s="180"/>
      <c r="I157" s="5">
        <f>(Materiais[[#This Row],[Qtde.]]*Materiais[[#This Row],[Custo Unitário
Sem Tributos (R$)]])</f>
        <v>0</v>
      </c>
      <c r="J157" s="92">
        <v>0</v>
      </c>
      <c r="K157" s="140">
        <f>Materiais[[#This Row],[Custo Total
Sem Tributos (R$)]]*Materiais[[#This Row],[IPI
(%)]]+Materiais[[#This Row],[Custo Total
Sem Tributos (R$)]]</f>
        <v>0</v>
      </c>
      <c r="L157" s="92">
        <v>0.1</v>
      </c>
      <c r="M157" s="76">
        <f>Materiais[[#This Row],[Custo Total
Com IPI (R$)]]/(1-Materiais[[#This Row],[Margem
(%)]])</f>
        <v>0</v>
      </c>
      <c r="N157" s="16">
        <f>Materiais[[#This Row],[Valor Venda c/ Potencial Desconto  em Material (R$)]]-Materiais[[#This Row],[Custo Total
Com IPI (R$)]]</f>
        <v>0</v>
      </c>
      <c r="O157" s="93">
        <f>Materiais[[#This Row],[Valor Total
Com Margem
Sem Tributos   (R$)]]/(1-('Valores Finais'!$C$10))</f>
        <v>0</v>
      </c>
      <c r="P157" s="93">
        <f>Materiais[[#This Row],[Valor Venda c/ Potencial Desconto  em Material (R$)]]/(1-('Valores Finais'!$B$6))</f>
        <v>0</v>
      </c>
      <c r="Q157" s="84">
        <f>'Valores Finais'!$B$10</f>
        <v>0.12</v>
      </c>
      <c r="R157" s="76">
        <f>Materiais[[#This Row],[Valor Venda c/ Comissões (R$)]]/(1-Materiais[[#This Row],[Tributos
(%)]])-Materiais[[#This Row],[Valor Venda c/ Comissões (R$)]]</f>
        <v>0</v>
      </c>
      <c r="S157" s="76">
        <f>Materiais[[#This Row],[Valor Venda c/ Comissões (R$)]]+Materiais[[#This Row],[Tributos
(R$)]]</f>
        <v>0</v>
      </c>
      <c r="T157" s="185"/>
      <c r="U157" s="186">
        <f ca="1">IF(Materiais[[#This Row],[Data Update]] = "",0,IF(_xlfn.DAYS(NOW(),Materiais[[#This Row],[Data Update]])&lt;=0,0,_xlfn.DAYS(NOW(),Materiais[[#This Row],[Data Update]])))</f>
        <v>0</v>
      </c>
    </row>
    <row r="158" spans="1:21" x14ac:dyDescent="0.2">
      <c r="A158" s="46"/>
      <c r="B158" s="46"/>
      <c r="C158" s="46"/>
      <c r="D158" s="46"/>
      <c r="E158" s="46"/>
      <c r="F158" s="138"/>
      <c r="G158" s="129"/>
      <c r="H158" s="180"/>
      <c r="I158" s="5">
        <f>(Materiais[[#This Row],[Qtde.]]*Materiais[[#This Row],[Custo Unitário
Sem Tributos (R$)]])</f>
        <v>0</v>
      </c>
      <c r="J158" s="92">
        <v>0</v>
      </c>
      <c r="K158" s="140">
        <f>Materiais[[#This Row],[Custo Total
Sem Tributos (R$)]]*Materiais[[#This Row],[IPI
(%)]]+Materiais[[#This Row],[Custo Total
Sem Tributos (R$)]]</f>
        <v>0</v>
      </c>
      <c r="L158" s="92">
        <v>0.1</v>
      </c>
      <c r="M158" s="76">
        <f>Materiais[[#This Row],[Custo Total
Com IPI (R$)]]/(1-Materiais[[#This Row],[Margem
(%)]])</f>
        <v>0</v>
      </c>
      <c r="N158" s="16">
        <f>Materiais[[#This Row],[Valor Venda c/ Potencial Desconto  em Material (R$)]]-Materiais[[#This Row],[Custo Total
Com IPI (R$)]]</f>
        <v>0</v>
      </c>
      <c r="O158" s="93">
        <f>Materiais[[#This Row],[Valor Total
Com Margem
Sem Tributos   (R$)]]/(1-('Valores Finais'!$C$10))</f>
        <v>0</v>
      </c>
      <c r="P158" s="93">
        <f>Materiais[[#This Row],[Valor Venda c/ Potencial Desconto  em Material (R$)]]/(1-('Valores Finais'!$B$6))</f>
        <v>0</v>
      </c>
      <c r="Q158" s="84">
        <f>'Valores Finais'!$B$10</f>
        <v>0.12</v>
      </c>
      <c r="R158" s="76">
        <f>Materiais[[#This Row],[Valor Venda c/ Comissões (R$)]]/(1-Materiais[[#This Row],[Tributos
(%)]])-Materiais[[#This Row],[Valor Venda c/ Comissões (R$)]]</f>
        <v>0</v>
      </c>
      <c r="S158" s="76">
        <f>Materiais[[#This Row],[Valor Venda c/ Comissões (R$)]]+Materiais[[#This Row],[Tributos
(R$)]]</f>
        <v>0</v>
      </c>
      <c r="T158" s="185"/>
      <c r="U158" s="186">
        <f ca="1">IF(Materiais[[#This Row],[Data Update]] = "",0,IF(_xlfn.DAYS(NOW(),Materiais[[#This Row],[Data Update]])&lt;=0,0,_xlfn.DAYS(NOW(),Materiais[[#This Row],[Data Update]])))</f>
        <v>0</v>
      </c>
    </row>
    <row r="159" spans="1:21" x14ac:dyDescent="0.2">
      <c r="A159" s="46"/>
      <c r="B159" s="46"/>
      <c r="C159" s="46"/>
      <c r="D159" s="46"/>
      <c r="E159" s="46"/>
      <c r="F159" s="138"/>
      <c r="G159" s="129"/>
      <c r="H159" s="180"/>
      <c r="I159" s="5">
        <f>(Materiais[[#This Row],[Qtde.]]*Materiais[[#This Row],[Custo Unitário
Sem Tributos (R$)]])</f>
        <v>0</v>
      </c>
      <c r="J159" s="92">
        <v>0</v>
      </c>
      <c r="K159" s="140">
        <f>Materiais[[#This Row],[Custo Total
Sem Tributos (R$)]]*Materiais[[#This Row],[IPI
(%)]]+Materiais[[#This Row],[Custo Total
Sem Tributos (R$)]]</f>
        <v>0</v>
      </c>
      <c r="L159" s="92">
        <v>0.1</v>
      </c>
      <c r="M159" s="76">
        <f>Materiais[[#This Row],[Custo Total
Com IPI (R$)]]/(1-Materiais[[#This Row],[Margem
(%)]])</f>
        <v>0</v>
      </c>
      <c r="N159" s="16">
        <f>Materiais[[#This Row],[Valor Venda c/ Potencial Desconto  em Material (R$)]]-Materiais[[#This Row],[Custo Total
Com IPI (R$)]]</f>
        <v>0</v>
      </c>
      <c r="O159" s="93">
        <f>Materiais[[#This Row],[Valor Total
Com Margem
Sem Tributos   (R$)]]/(1-('Valores Finais'!$C$10))</f>
        <v>0</v>
      </c>
      <c r="P159" s="93">
        <f>Materiais[[#This Row],[Valor Venda c/ Potencial Desconto  em Material (R$)]]/(1-('Valores Finais'!$B$6))</f>
        <v>0</v>
      </c>
      <c r="Q159" s="84">
        <f>'Valores Finais'!$B$10</f>
        <v>0.12</v>
      </c>
      <c r="R159" s="76">
        <f>Materiais[[#This Row],[Valor Venda c/ Comissões (R$)]]/(1-Materiais[[#This Row],[Tributos
(%)]])-Materiais[[#This Row],[Valor Venda c/ Comissões (R$)]]</f>
        <v>0</v>
      </c>
      <c r="S159" s="76">
        <f>Materiais[[#This Row],[Valor Venda c/ Comissões (R$)]]+Materiais[[#This Row],[Tributos
(R$)]]</f>
        <v>0</v>
      </c>
      <c r="T159" s="185"/>
      <c r="U159" s="186">
        <f ca="1">IF(Materiais[[#This Row],[Data Update]] = "",0,IF(_xlfn.DAYS(NOW(),Materiais[[#This Row],[Data Update]])&lt;=0,0,_xlfn.DAYS(NOW(),Materiais[[#This Row],[Data Update]])))</f>
        <v>0</v>
      </c>
    </row>
    <row r="160" spans="1:21" x14ac:dyDescent="0.2">
      <c r="A160" s="46"/>
      <c r="B160" s="46"/>
      <c r="C160" s="46"/>
      <c r="D160" s="46"/>
      <c r="E160" s="46"/>
      <c r="F160" s="138"/>
      <c r="G160" s="129"/>
      <c r="H160" s="180"/>
      <c r="I160" s="5">
        <f>(Materiais[[#This Row],[Qtde.]]*Materiais[[#This Row],[Custo Unitário
Sem Tributos (R$)]])</f>
        <v>0</v>
      </c>
      <c r="J160" s="92">
        <v>0</v>
      </c>
      <c r="K160" s="140">
        <f>Materiais[[#This Row],[Custo Total
Sem Tributos (R$)]]*Materiais[[#This Row],[IPI
(%)]]+Materiais[[#This Row],[Custo Total
Sem Tributos (R$)]]</f>
        <v>0</v>
      </c>
      <c r="L160" s="92">
        <v>0.1</v>
      </c>
      <c r="M160" s="76">
        <f>Materiais[[#This Row],[Custo Total
Com IPI (R$)]]/(1-Materiais[[#This Row],[Margem
(%)]])</f>
        <v>0</v>
      </c>
      <c r="N160" s="16">
        <f>Materiais[[#This Row],[Valor Venda c/ Potencial Desconto  em Material (R$)]]-Materiais[[#This Row],[Custo Total
Com IPI (R$)]]</f>
        <v>0</v>
      </c>
      <c r="O160" s="93">
        <f>Materiais[[#This Row],[Valor Total
Com Margem
Sem Tributos   (R$)]]/(1-('Valores Finais'!$C$10))</f>
        <v>0</v>
      </c>
      <c r="P160" s="93">
        <f>Materiais[[#This Row],[Valor Venda c/ Potencial Desconto  em Material (R$)]]/(1-('Valores Finais'!$B$6))</f>
        <v>0</v>
      </c>
      <c r="Q160" s="84">
        <f>'Valores Finais'!$B$10</f>
        <v>0.12</v>
      </c>
      <c r="R160" s="76">
        <f>Materiais[[#This Row],[Valor Venda c/ Comissões (R$)]]/(1-Materiais[[#This Row],[Tributos
(%)]])-Materiais[[#This Row],[Valor Venda c/ Comissões (R$)]]</f>
        <v>0</v>
      </c>
      <c r="S160" s="76">
        <f>Materiais[[#This Row],[Valor Venda c/ Comissões (R$)]]+Materiais[[#This Row],[Tributos
(R$)]]</f>
        <v>0</v>
      </c>
      <c r="T160" s="185"/>
      <c r="U160" s="186">
        <f ca="1">IF(Materiais[[#This Row],[Data Update]] = "",0,IF(_xlfn.DAYS(NOW(),Materiais[[#This Row],[Data Update]])&lt;=0,0,_xlfn.DAYS(NOW(),Materiais[[#This Row],[Data Update]])))</f>
        <v>0</v>
      </c>
    </row>
    <row r="161" spans="1:21" x14ac:dyDescent="0.2">
      <c r="A161" s="46"/>
      <c r="B161" s="46"/>
      <c r="C161" s="46"/>
      <c r="D161" s="46"/>
      <c r="E161" s="46"/>
      <c r="F161" s="138"/>
      <c r="G161" s="129"/>
      <c r="H161" s="180"/>
      <c r="I161" s="5">
        <f>(Materiais[[#This Row],[Qtde.]]*Materiais[[#This Row],[Custo Unitário
Sem Tributos (R$)]])</f>
        <v>0</v>
      </c>
      <c r="J161" s="92">
        <v>0</v>
      </c>
      <c r="K161" s="140">
        <f>Materiais[[#This Row],[Custo Total
Sem Tributos (R$)]]*Materiais[[#This Row],[IPI
(%)]]+Materiais[[#This Row],[Custo Total
Sem Tributos (R$)]]</f>
        <v>0</v>
      </c>
      <c r="L161" s="92">
        <v>0.1</v>
      </c>
      <c r="M161" s="76">
        <f>Materiais[[#This Row],[Custo Total
Com IPI (R$)]]/(1-Materiais[[#This Row],[Margem
(%)]])</f>
        <v>0</v>
      </c>
      <c r="N161" s="16">
        <f>Materiais[[#This Row],[Valor Venda c/ Potencial Desconto  em Material (R$)]]-Materiais[[#This Row],[Custo Total
Com IPI (R$)]]</f>
        <v>0</v>
      </c>
      <c r="O161" s="93">
        <f>Materiais[[#This Row],[Valor Total
Com Margem
Sem Tributos   (R$)]]/(1-('Valores Finais'!$C$10))</f>
        <v>0</v>
      </c>
      <c r="P161" s="93">
        <f>Materiais[[#This Row],[Valor Venda c/ Potencial Desconto  em Material (R$)]]/(1-('Valores Finais'!$B$6))</f>
        <v>0</v>
      </c>
      <c r="Q161" s="84">
        <f>'Valores Finais'!$B$10</f>
        <v>0.12</v>
      </c>
      <c r="R161" s="76">
        <f>Materiais[[#This Row],[Valor Venda c/ Comissões (R$)]]/(1-Materiais[[#This Row],[Tributos
(%)]])-Materiais[[#This Row],[Valor Venda c/ Comissões (R$)]]</f>
        <v>0</v>
      </c>
      <c r="S161" s="76">
        <f>Materiais[[#This Row],[Valor Venda c/ Comissões (R$)]]+Materiais[[#This Row],[Tributos
(R$)]]</f>
        <v>0</v>
      </c>
      <c r="T161" s="185"/>
      <c r="U161" s="186">
        <f ca="1">IF(Materiais[[#This Row],[Data Update]] = "",0,IF(_xlfn.DAYS(NOW(),Materiais[[#This Row],[Data Update]])&lt;=0,0,_xlfn.DAYS(NOW(),Materiais[[#This Row],[Data Update]])))</f>
        <v>0</v>
      </c>
    </row>
    <row r="162" spans="1:21" x14ac:dyDescent="0.2">
      <c r="A162" s="46"/>
      <c r="B162" s="46"/>
      <c r="C162" s="46"/>
      <c r="D162" s="46"/>
      <c r="E162" s="46"/>
      <c r="F162" s="138"/>
      <c r="G162" s="129"/>
      <c r="H162" s="180"/>
      <c r="I162" s="5">
        <f>(Materiais[[#This Row],[Qtde.]]*Materiais[[#This Row],[Custo Unitário
Sem Tributos (R$)]])</f>
        <v>0</v>
      </c>
      <c r="J162" s="92">
        <v>0</v>
      </c>
      <c r="K162" s="140">
        <f>Materiais[[#This Row],[Custo Total
Sem Tributos (R$)]]*Materiais[[#This Row],[IPI
(%)]]+Materiais[[#This Row],[Custo Total
Sem Tributos (R$)]]</f>
        <v>0</v>
      </c>
      <c r="L162" s="92">
        <v>0.1</v>
      </c>
      <c r="M162" s="76">
        <f>Materiais[[#This Row],[Custo Total
Com IPI (R$)]]/(1-Materiais[[#This Row],[Margem
(%)]])</f>
        <v>0</v>
      </c>
      <c r="N162" s="16">
        <f>Materiais[[#This Row],[Valor Venda c/ Potencial Desconto  em Material (R$)]]-Materiais[[#This Row],[Custo Total
Com IPI (R$)]]</f>
        <v>0</v>
      </c>
      <c r="O162" s="93">
        <f>Materiais[[#This Row],[Valor Total
Com Margem
Sem Tributos   (R$)]]/(1-('Valores Finais'!$C$10))</f>
        <v>0</v>
      </c>
      <c r="P162" s="93">
        <f>Materiais[[#This Row],[Valor Venda c/ Potencial Desconto  em Material (R$)]]/(1-('Valores Finais'!$B$6))</f>
        <v>0</v>
      </c>
      <c r="Q162" s="84">
        <f>'Valores Finais'!$B$10</f>
        <v>0.12</v>
      </c>
      <c r="R162" s="76">
        <f>Materiais[[#This Row],[Valor Venda c/ Comissões (R$)]]/(1-Materiais[[#This Row],[Tributos
(%)]])-Materiais[[#This Row],[Valor Venda c/ Comissões (R$)]]</f>
        <v>0</v>
      </c>
      <c r="S162" s="76">
        <f>Materiais[[#This Row],[Valor Venda c/ Comissões (R$)]]+Materiais[[#This Row],[Tributos
(R$)]]</f>
        <v>0</v>
      </c>
      <c r="T162" s="185"/>
      <c r="U162" s="186">
        <f ca="1">IF(Materiais[[#This Row],[Data Update]] = "",0,IF(_xlfn.DAYS(NOW(),Materiais[[#This Row],[Data Update]])&lt;=0,0,_xlfn.DAYS(NOW(),Materiais[[#This Row],[Data Update]])))</f>
        <v>0</v>
      </c>
    </row>
    <row r="163" spans="1:21" x14ac:dyDescent="0.2">
      <c r="A163" s="46"/>
      <c r="B163" s="46"/>
      <c r="C163" s="46"/>
      <c r="D163" s="46"/>
      <c r="E163" s="46"/>
      <c r="F163" s="138"/>
      <c r="G163" s="129"/>
      <c r="H163" s="180"/>
      <c r="I163" s="5">
        <f>(Materiais[[#This Row],[Qtde.]]*Materiais[[#This Row],[Custo Unitário
Sem Tributos (R$)]])</f>
        <v>0</v>
      </c>
      <c r="J163" s="92">
        <v>0</v>
      </c>
      <c r="K163" s="140">
        <f>Materiais[[#This Row],[Custo Total
Sem Tributos (R$)]]*Materiais[[#This Row],[IPI
(%)]]+Materiais[[#This Row],[Custo Total
Sem Tributos (R$)]]</f>
        <v>0</v>
      </c>
      <c r="L163" s="92">
        <v>0.1</v>
      </c>
      <c r="M163" s="76">
        <f>Materiais[[#This Row],[Custo Total
Com IPI (R$)]]/(1-Materiais[[#This Row],[Margem
(%)]])</f>
        <v>0</v>
      </c>
      <c r="N163" s="16">
        <f>Materiais[[#This Row],[Valor Venda c/ Potencial Desconto  em Material (R$)]]-Materiais[[#This Row],[Custo Total
Com IPI (R$)]]</f>
        <v>0</v>
      </c>
      <c r="O163" s="93">
        <f>Materiais[[#This Row],[Valor Total
Com Margem
Sem Tributos   (R$)]]/(1-('Valores Finais'!$C$10))</f>
        <v>0</v>
      </c>
      <c r="P163" s="93">
        <f>Materiais[[#This Row],[Valor Venda c/ Potencial Desconto  em Material (R$)]]/(1-('Valores Finais'!$B$6))</f>
        <v>0</v>
      </c>
      <c r="Q163" s="84">
        <f>'Valores Finais'!$B$10</f>
        <v>0.12</v>
      </c>
      <c r="R163" s="76">
        <f>Materiais[[#This Row],[Valor Venda c/ Comissões (R$)]]/(1-Materiais[[#This Row],[Tributos
(%)]])-Materiais[[#This Row],[Valor Venda c/ Comissões (R$)]]</f>
        <v>0</v>
      </c>
      <c r="S163" s="76">
        <f>Materiais[[#This Row],[Valor Venda c/ Comissões (R$)]]+Materiais[[#This Row],[Tributos
(R$)]]</f>
        <v>0</v>
      </c>
      <c r="T163" s="185"/>
      <c r="U163" s="186">
        <f ca="1">IF(Materiais[[#This Row],[Data Update]] = "",0,IF(_xlfn.DAYS(NOW(),Materiais[[#This Row],[Data Update]])&lt;=0,0,_xlfn.DAYS(NOW(),Materiais[[#This Row],[Data Update]])))</f>
        <v>0</v>
      </c>
    </row>
    <row r="164" spans="1:21" x14ac:dyDescent="0.2">
      <c r="A164" s="46"/>
      <c r="B164" s="46"/>
      <c r="C164" s="46"/>
      <c r="D164" s="46"/>
      <c r="E164" s="46"/>
      <c r="F164" s="138"/>
      <c r="G164" s="129"/>
      <c r="H164" s="180"/>
      <c r="I164" s="5">
        <f>(Materiais[[#This Row],[Qtde.]]*Materiais[[#This Row],[Custo Unitário
Sem Tributos (R$)]])</f>
        <v>0</v>
      </c>
      <c r="J164" s="92">
        <v>0</v>
      </c>
      <c r="K164" s="140">
        <f>Materiais[[#This Row],[Custo Total
Sem Tributos (R$)]]*Materiais[[#This Row],[IPI
(%)]]+Materiais[[#This Row],[Custo Total
Sem Tributos (R$)]]</f>
        <v>0</v>
      </c>
      <c r="L164" s="92">
        <v>0.1</v>
      </c>
      <c r="M164" s="76">
        <f>Materiais[[#This Row],[Custo Total
Com IPI (R$)]]/(1-Materiais[[#This Row],[Margem
(%)]])</f>
        <v>0</v>
      </c>
      <c r="N164" s="16">
        <f>Materiais[[#This Row],[Valor Venda c/ Potencial Desconto  em Material (R$)]]-Materiais[[#This Row],[Custo Total
Com IPI (R$)]]</f>
        <v>0</v>
      </c>
      <c r="O164" s="93">
        <f>Materiais[[#This Row],[Valor Total
Com Margem
Sem Tributos   (R$)]]/(1-('Valores Finais'!$C$10))</f>
        <v>0</v>
      </c>
      <c r="P164" s="93">
        <f>Materiais[[#This Row],[Valor Venda c/ Potencial Desconto  em Material (R$)]]/(1-('Valores Finais'!$B$6))</f>
        <v>0</v>
      </c>
      <c r="Q164" s="84">
        <f>'Valores Finais'!$B$10</f>
        <v>0.12</v>
      </c>
      <c r="R164" s="76">
        <f>Materiais[[#This Row],[Valor Venda c/ Comissões (R$)]]/(1-Materiais[[#This Row],[Tributos
(%)]])-Materiais[[#This Row],[Valor Venda c/ Comissões (R$)]]</f>
        <v>0</v>
      </c>
      <c r="S164" s="76">
        <f>Materiais[[#This Row],[Valor Venda c/ Comissões (R$)]]+Materiais[[#This Row],[Tributos
(R$)]]</f>
        <v>0</v>
      </c>
      <c r="T164" s="185"/>
      <c r="U164" s="186">
        <f ca="1">IF(Materiais[[#This Row],[Data Update]] = "",0,IF(_xlfn.DAYS(NOW(),Materiais[[#This Row],[Data Update]])&lt;=0,0,_xlfn.DAYS(NOW(),Materiais[[#This Row],[Data Update]])))</f>
        <v>0</v>
      </c>
    </row>
    <row r="165" spans="1:21" x14ac:dyDescent="0.2">
      <c r="A165" s="46"/>
      <c r="B165" s="46"/>
      <c r="C165" s="46"/>
      <c r="D165" s="46"/>
      <c r="E165" s="46"/>
      <c r="F165" s="138"/>
      <c r="G165" s="129"/>
      <c r="H165" s="180"/>
      <c r="I165" s="5">
        <f>(Materiais[[#This Row],[Qtde.]]*Materiais[[#This Row],[Custo Unitário
Sem Tributos (R$)]])</f>
        <v>0</v>
      </c>
      <c r="J165" s="92">
        <v>0</v>
      </c>
      <c r="K165" s="140">
        <f>Materiais[[#This Row],[Custo Total
Sem Tributos (R$)]]*Materiais[[#This Row],[IPI
(%)]]+Materiais[[#This Row],[Custo Total
Sem Tributos (R$)]]</f>
        <v>0</v>
      </c>
      <c r="L165" s="92">
        <v>0.1</v>
      </c>
      <c r="M165" s="76">
        <f>Materiais[[#This Row],[Custo Total
Com IPI (R$)]]/(1-Materiais[[#This Row],[Margem
(%)]])</f>
        <v>0</v>
      </c>
      <c r="N165" s="16">
        <f>Materiais[[#This Row],[Valor Venda c/ Potencial Desconto  em Material (R$)]]-Materiais[[#This Row],[Custo Total
Com IPI (R$)]]</f>
        <v>0</v>
      </c>
      <c r="O165" s="93">
        <f>Materiais[[#This Row],[Valor Total
Com Margem
Sem Tributos   (R$)]]/(1-('Valores Finais'!$C$10))</f>
        <v>0</v>
      </c>
      <c r="P165" s="93">
        <f>Materiais[[#This Row],[Valor Venda c/ Potencial Desconto  em Material (R$)]]/(1-('Valores Finais'!$B$6))</f>
        <v>0</v>
      </c>
      <c r="Q165" s="84">
        <f>'Valores Finais'!$B$10</f>
        <v>0.12</v>
      </c>
      <c r="R165" s="76">
        <f>Materiais[[#This Row],[Valor Venda c/ Comissões (R$)]]/(1-Materiais[[#This Row],[Tributos
(%)]])-Materiais[[#This Row],[Valor Venda c/ Comissões (R$)]]</f>
        <v>0</v>
      </c>
      <c r="S165" s="76">
        <f>Materiais[[#This Row],[Valor Venda c/ Comissões (R$)]]+Materiais[[#This Row],[Tributos
(R$)]]</f>
        <v>0</v>
      </c>
      <c r="T165" s="185"/>
      <c r="U165" s="186">
        <f ca="1">IF(Materiais[[#This Row],[Data Update]] = "",0,IF(_xlfn.DAYS(NOW(),Materiais[[#This Row],[Data Update]])&lt;=0,0,_xlfn.DAYS(NOW(),Materiais[[#This Row],[Data Update]])))</f>
        <v>0</v>
      </c>
    </row>
    <row r="166" spans="1:21" x14ac:dyDescent="0.2">
      <c r="A166" s="46"/>
      <c r="B166" s="46"/>
      <c r="C166" s="46"/>
      <c r="D166" s="46"/>
      <c r="E166" s="46"/>
      <c r="F166" s="138"/>
      <c r="G166" s="129"/>
      <c r="H166" s="180"/>
      <c r="I166" s="5">
        <f>(Materiais[[#This Row],[Qtde.]]*Materiais[[#This Row],[Custo Unitário
Sem Tributos (R$)]])</f>
        <v>0</v>
      </c>
      <c r="J166" s="92">
        <v>0</v>
      </c>
      <c r="K166" s="140">
        <f>Materiais[[#This Row],[Custo Total
Sem Tributos (R$)]]*Materiais[[#This Row],[IPI
(%)]]+Materiais[[#This Row],[Custo Total
Sem Tributos (R$)]]</f>
        <v>0</v>
      </c>
      <c r="L166" s="92">
        <v>0.1</v>
      </c>
      <c r="M166" s="76">
        <f>Materiais[[#This Row],[Custo Total
Com IPI (R$)]]/(1-Materiais[[#This Row],[Margem
(%)]])</f>
        <v>0</v>
      </c>
      <c r="N166" s="16">
        <f>Materiais[[#This Row],[Valor Venda c/ Potencial Desconto  em Material (R$)]]-Materiais[[#This Row],[Custo Total
Com IPI (R$)]]</f>
        <v>0</v>
      </c>
      <c r="O166" s="93">
        <f>Materiais[[#This Row],[Valor Total
Com Margem
Sem Tributos   (R$)]]/(1-('Valores Finais'!$C$10))</f>
        <v>0</v>
      </c>
      <c r="P166" s="93">
        <f>Materiais[[#This Row],[Valor Venda c/ Potencial Desconto  em Material (R$)]]/(1-('Valores Finais'!$B$6))</f>
        <v>0</v>
      </c>
      <c r="Q166" s="84">
        <f>'Valores Finais'!$B$10</f>
        <v>0.12</v>
      </c>
      <c r="R166" s="76">
        <f>Materiais[[#This Row],[Valor Venda c/ Comissões (R$)]]/(1-Materiais[[#This Row],[Tributos
(%)]])-Materiais[[#This Row],[Valor Venda c/ Comissões (R$)]]</f>
        <v>0</v>
      </c>
      <c r="S166" s="76">
        <f>Materiais[[#This Row],[Valor Venda c/ Comissões (R$)]]+Materiais[[#This Row],[Tributos
(R$)]]</f>
        <v>0</v>
      </c>
      <c r="T166" s="185"/>
      <c r="U166" s="186">
        <f ca="1">IF(Materiais[[#This Row],[Data Update]] = "",0,IF(_xlfn.DAYS(NOW(),Materiais[[#This Row],[Data Update]])&lt;=0,0,_xlfn.DAYS(NOW(),Materiais[[#This Row],[Data Update]])))</f>
        <v>0</v>
      </c>
    </row>
    <row r="167" spans="1:21" x14ac:dyDescent="0.2">
      <c r="A167" s="46"/>
      <c r="B167" s="46"/>
      <c r="C167" s="46"/>
      <c r="D167" s="46"/>
      <c r="E167" s="46"/>
      <c r="F167" s="138"/>
      <c r="G167" s="129"/>
      <c r="H167" s="180"/>
      <c r="I167" s="5">
        <f>(Materiais[[#This Row],[Qtde.]]*Materiais[[#This Row],[Custo Unitário
Sem Tributos (R$)]])</f>
        <v>0</v>
      </c>
      <c r="J167" s="92">
        <v>0</v>
      </c>
      <c r="K167" s="140">
        <f>Materiais[[#This Row],[Custo Total
Sem Tributos (R$)]]*Materiais[[#This Row],[IPI
(%)]]+Materiais[[#This Row],[Custo Total
Sem Tributos (R$)]]</f>
        <v>0</v>
      </c>
      <c r="L167" s="92">
        <v>0.1</v>
      </c>
      <c r="M167" s="76">
        <f>Materiais[[#This Row],[Custo Total
Com IPI (R$)]]/(1-Materiais[[#This Row],[Margem
(%)]])</f>
        <v>0</v>
      </c>
      <c r="N167" s="16">
        <f>Materiais[[#This Row],[Valor Venda c/ Potencial Desconto  em Material (R$)]]-Materiais[[#This Row],[Custo Total
Com IPI (R$)]]</f>
        <v>0</v>
      </c>
      <c r="O167" s="93">
        <f>Materiais[[#This Row],[Valor Total
Com Margem
Sem Tributos   (R$)]]/(1-('Valores Finais'!$C$10))</f>
        <v>0</v>
      </c>
      <c r="P167" s="93">
        <f>Materiais[[#This Row],[Valor Venda c/ Potencial Desconto  em Material (R$)]]/(1-('Valores Finais'!$B$6))</f>
        <v>0</v>
      </c>
      <c r="Q167" s="84">
        <f>'Valores Finais'!$B$10</f>
        <v>0.12</v>
      </c>
      <c r="R167" s="76">
        <f>Materiais[[#This Row],[Valor Venda c/ Comissões (R$)]]/(1-Materiais[[#This Row],[Tributos
(%)]])-Materiais[[#This Row],[Valor Venda c/ Comissões (R$)]]</f>
        <v>0</v>
      </c>
      <c r="S167" s="76">
        <f>Materiais[[#This Row],[Valor Venda c/ Comissões (R$)]]+Materiais[[#This Row],[Tributos
(R$)]]</f>
        <v>0</v>
      </c>
      <c r="T167" s="185"/>
      <c r="U167" s="186">
        <f ca="1">IF(Materiais[[#This Row],[Data Update]] = "",0,IF(_xlfn.DAYS(NOW(),Materiais[[#This Row],[Data Update]])&lt;=0,0,_xlfn.DAYS(NOW(),Materiais[[#This Row],[Data Update]])))</f>
        <v>0</v>
      </c>
    </row>
    <row r="168" spans="1:21" x14ac:dyDescent="0.2">
      <c r="A168" s="46"/>
      <c r="B168" s="46"/>
      <c r="C168" s="46"/>
      <c r="D168" s="46"/>
      <c r="E168" s="46"/>
      <c r="F168" s="138"/>
      <c r="G168" s="129"/>
      <c r="H168" s="180"/>
      <c r="I168" s="5">
        <f>(Materiais[[#This Row],[Qtde.]]*Materiais[[#This Row],[Custo Unitário
Sem Tributos (R$)]])</f>
        <v>0</v>
      </c>
      <c r="J168" s="92">
        <v>0</v>
      </c>
      <c r="K168" s="140">
        <f>Materiais[[#This Row],[Custo Total
Sem Tributos (R$)]]*Materiais[[#This Row],[IPI
(%)]]+Materiais[[#This Row],[Custo Total
Sem Tributos (R$)]]</f>
        <v>0</v>
      </c>
      <c r="L168" s="92">
        <v>0.1</v>
      </c>
      <c r="M168" s="76">
        <f>Materiais[[#This Row],[Custo Total
Com IPI (R$)]]/(1-Materiais[[#This Row],[Margem
(%)]])</f>
        <v>0</v>
      </c>
      <c r="N168" s="16">
        <f>Materiais[[#This Row],[Valor Venda c/ Potencial Desconto  em Material (R$)]]-Materiais[[#This Row],[Custo Total
Com IPI (R$)]]</f>
        <v>0</v>
      </c>
      <c r="O168" s="93">
        <f>Materiais[[#This Row],[Valor Total
Com Margem
Sem Tributos   (R$)]]/(1-('Valores Finais'!$C$10))</f>
        <v>0</v>
      </c>
      <c r="P168" s="93">
        <f>Materiais[[#This Row],[Valor Venda c/ Potencial Desconto  em Material (R$)]]/(1-('Valores Finais'!$B$6))</f>
        <v>0</v>
      </c>
      <c r="Q168" s="84">
        <f>'Valores Finais'!$B$10</f>
        <v>0.12</v>
      </c>
      <c r="R168" s="76">
        <f>Materiais[[#This Row],[Valor Venda c/ Comissões (R$)]]/(1-Materiais[[#This Row],[Tributos
(%)]])-Materiais[[#This Row],[Valor Venda c/ Comissões (R$)]]</f>
        <v>0</v>
      </c>
      <c r="S168" s="76">
        <f>Materiais[[#This Row],[Valor Venda c/ Comissões (R$)]]+Materiais[[#This Row],[Tributos
(R$)]]</f>
        <v>0</v>
      </c>
      <c r="T168" s="185"/>
      <c r="U168" s="186">
        <f ca="1">IF(Materiais[[#This Row],[Data Update]] = "",0,IF(_xlfn.DAYS(NOW(),Materiais[[#This Row],[Data Update]])&lt;=0,0,_xlfn.DAYS(NOW(),Materiais[[#This Row],[Data Update]])))</f>
        <v>0</v>
      </c>
    </row>
    <row r="169" spans="1:21" x14ac:dyDescent="0.2">
      <c r="A169" s="46"/>
      <c r="B169" s="46"/>
      <c r="C169" s="46"/>
      <c r="D169" s="46"/>
      <c r="E169" s="46"/>
      <c r="F169" s="138"/>
      <c r="G169" s="129"/>
      <c r="H169" s="180"/>
      <c r="I169" s="5">
        <f>(Materiais[[#This Row],[Qtde.]]*Materiais[[#This Row],[Custo Unitário
Sem Tributos (R$)]])</f>
        <v>0</v>
      </c>
      <c r="J169" s="92">
        <v>0</v>
      </c>
      <c r="K169" s="140">
        <f>Materiais[[#This Row],[Custo Total
Sem Tributos (R$)]]*Materiais[[#This Row],[IPI
(%)]]+Materiais[[#This Row],[Custo Total
Sem Tributos (R$)]]</f>
        <v>0</v>
      </c>
      <c r="L169" s="92">
        <v>0.1</v>
      </c>
      <c r="M169" s="76">
        <f>Materiais[[#This Row],[Custo Total
Com IPI (R$)]]/(1-Materiais[[#This Row],[Margem
(%)]])</f>
        <v>0</v>
      </c>
      <c r="N169" s="16">
        <f>Materiais[[#This Row],[Valor Venda c/ Potencial Desconto  em Material (R$)]]-Materiais[[#This Row],[Custo Total
Com IPI (R$)]]</f>
        <v>0</v>
      </c>
      <c r="O169" s="93">
        <f>Materiais[[#This Row],[Valor Total
Com Margem
Sem Tributos   (R$)]]/(1-('Valores Finais'!$C$10))</f>
        <v>0</v>
      </c>
      <c r="P169" s="93">
        <f>Materiais[[#This Row],[Valor Venda c/ Potencial Desconto  em Material (R$)]]/(1-('Valores Finais'!$B$6))</f>
        <v>0</v>
      </c>
      <c r="Q169" s="84">
        <f>'Valores Finais'!$B$10</f>
        <v>0.12</v>
      </c>
      <c r="R169" s="76">
        <f>Materiais[[#This Row],[Valor Venda c/ Comissões (R$)]]/(1-Materiais[[#This Row],[Tributos
(%)]])-Materiais[[#This Row],[Valor Venda c/ Comissões (R$)]]</f>
        <v>0</v>
      </c>
      <c r="S169" s="76">
        <f>Materiais[[#This Row],[Valor Venda c/ Comissões (R$)]]+Materiais[[#This Row],[Tributos
(R$)]]</f>
        <v>0</v>
      </c>
      <c r="T169" s="185"/>
      <c r="U169" s="186">
        <f ca="1">IF(Materiais[[#This Row],[Data Update]] = "",0,IF(_xlfn.DAYS(NOW(),Materiais[[#This Row],[Data Update]])&lt;=0,0,_xlfn.DAYS(NOW(),Materiais[[#This Row],[Data Update]])))</f>
        <v>0</v>
      </c>
    </row>
    <row r="170" spans="1:21" x14ac:dyDescent="0.2">
      <c r="A170" s="46"/>
      <c r="B170" s="46"/>
      <c r="C170" s="46"/>
      <c r="D170" s="46"/>
      <c r="E170" s="46"/>
      <c r="F170" s="138"/>
      <c r="G170" s="129"/>
      <c r="H170" s="180"/>
      <c r="I170" s="5">
        <f>(Materiais[[#This Row],[Qtde.]]*Materiais[[#This Row],[Custo Unitário
Sem Tributos (R$)]])</f>
        <v>0</v>
      </c>
      <c r="J170" s="92">
        <v>0</v>
      </c>
      <c r="K170" s="140">
        <f>Materiais[[#This Row],[Custo Total
Sem Tributos (R$)]]*Materiais[[#This Row],[IPI
(%)]]+Materiais[[#This Row],[Custo Total
Sem Tributos (R$)]]</f>
        <v>0</v>
      </c>
      <c r="L170" s="92">
        <v>0.1</v>
      </c>
      <c r="M170" s="76">
        <f>Materiais[[#This Row],[Custo Total
Com IPI (R$)]]/(1-Materiais[[#This Row],[Margem
(%)]])</f>
        <v>0</v>
      </c>
      <c r="N170" s="16">
        <f>Materiais[[#This Row],[Valor Venda c/ Potencial Desconto  em Material (R$)]]-Materiais[[#This Row],[Custo Total
Com IPI (R$)]]</f>
        <v>0</v>
      </c>
      <c r="O170" s="93">
        <f>Materiais[[#This Row],[Valor Total
Com Margem
Sem Tributos   (R$)]]/(1-('Valores Finais'!$C$10))</f>
        <v>0</v>
      </c>
      <c r="P170" s="93">
        <f>Materiais[[#This Row],[Valor Venda c/ Potencial Desconto  em Material (R$)]]/(1-('Valores Finais'!$B$6))</f>
        <v>0</v>
      </c>
      <c r="Q170" s="84">
        <f>'Valores Finais'!$B$10</f>
        <v>0.12</v>
      </c>
      <c r="R170" s="76">
        <f>Materiais[[#This Row],[Valor Venda c/ Comissões (R$)]]/(1-Materiais[[#This Row],[Tributos
(%)]])-Materiais[[#This Row],[Valor Venda c/ Comissões (R$)]]</f>
        <v>0</v>
      </c>
      <c r="S170" s="76">
        <f>Materiais[[#This Row],[Valor Venda c/ Comissões (R$)]]+Materiais[[#This Row],[Tributos
(R$)]]</f>
        <v>0</v>
      </c>
      <c r="T170" s="185"/>
      <c r="U170" s="186">
        <f ca="1">IF(Materiais[[#This Row],[Data Update]] = "",0,IF(_xlfn.DAYS(NOW(),Materiais[[#This Row],[Data Update]])&lt;=0,0,_xlfn.DAYS(NOW(),Materiais[[#This Row],[Data Update]])))</f>
        <v>0</v>
      </c>
    </row>
    <row r="171" spans="1:21" x14ac:dyDescent="0.2">
      <c r="A171" s="46"/>
      <c r="B171" s="46"/>
      <c r="C171" s="46"/>
      <c r="D171" s="46"/>
      <c r="E171" s="46"/>
      <c r="F171" s="138"/>
      <c r="G171" s="129"/>
      <c r="H171" s="180"/>
      <c r="I171" s="5">
        <f>(Materiais[[#This Row],[Qtde.]]*Materiais[[#This Row],[Custo Unitário
Sem Tributos (R$)]])</f>
        <v>0</v>
      </c>
      <c r="J171" s="92">
        <v>0</v>
      </c>
      <c r="K171" s="140">
        <f>Materiais[[#This Row],[Custo Total
Sem Tributos (R$)]]*Materiais[[#This Row],[IPI
(%)]]+Materiais[[#This Row],[Custo Total
Sem Tributos (R$)]]</f>
        <v>0</v>
      </c>
      <c r="L171" s="92">
        <v>0.1</v>
      </c>
      <c r="M171" s="76">
        <f>Materiais[[#This Row],[Custo Total
Com IPI (R$)]]/(1-Materiais[[#This Row],[Margem
(%)]])</f>
        <v>0</v>
      </c>
      <c r="N171" s="16">
        <f>Materiais[[#This Row],[Valor Venda c/ Potencial Desconto  em Material (R$)]]-Materiais[[#This Row],[Custo Total
Com IPI (R$)]]</f>
        <v>0</v>
      </c>
      <c r="O171" s="93">
        <f>Materiais[[#This Row],[Valor Total
Com Margem
Sem Tributos   (R$)]]/(1-('Valores Finais'!$C$10))</f>
        <v>0</v>
      </c>
      <c r="P171" s="93">
        <f>Materiais[[#This Row],[Valor Venda c/ Potencial Desconto  em Material (R$)]]/(1-('Valores Finais'!$B$6))</f>
        <v>0</v>
      </c>
      <c r="Q171" s="84">
        <f>'Valores Finais'!$B$10</f>
        <v>0.12</v>
      </c>
      <c r="R171" s="76">
        <f>Materiais[[#This Row],[Valor Venda c/ Comissões (R$)]]/(1-Materiais[[#This Row],[Tributos
(%)]])-Materiais[[#This Row],[Valor Venda c/ Comissões (R$)]]</f>
        <v>0</v>
      </c>
      <c r="S171" s="76">
        <f>Materiais[[#This Row],[Valor Venda c/ Comissões (R$)]]+Materiais[[#This Row],[Tributos
(R$)]]</f>
        <v>0</v>
      </c>
      <c r="T171" s="185"/>
      <c r="U171" s="186">
        <f ca="1">IF(Materiais[[#This Row],[Data Update]] = "",0,IF(_xlfn.DAYS(NOW(),Materiais[[#This Row],[Data Update]])&lt;=0,0,_xlfn.DAYS(NOW(),Materiais[[#This Row],[Data Update]])))</f>
        <v>0</v>
      </c>
    </row>
    <row r="172" spans="1:21" x14ac:dyDescent="0.2">
      <c r="A172" s="46"/>
      <c r="B172" s="46"/>
      <c r="C172" s="46"/>
      <c r="D172" s="46"/>
      <c r="E172" s="46"/>
      <c r="F172" s="138"/>
      <c r="G172" s="129"/>
      <c r="H172" s="180"/>
      <c r="I172" s="5">
        <f>(Materiais[[#This Row],[Qtde.]]*Materiais[[#This Row],[Custo Unitário
Sem Tributos (R$)]])</f>
        <v>0</v>
      </c>
      <c r="J172" s="92">
        <v>0</v>
      </c>
      <c r="K172" s="140">
        <f>Materiais[[#This Row],[Custo Total
Sem Tributos (R$)]]*Materiais[[#This Row],[IPI
(%)]]+Materiais[[#This Row],[Custo Total
Sem Tributos (R$)]]</f>
        <v>0</v>
      </c>
      <c r="L172" s="92">
        <v>0.1</v>
      </c>
      <c r="M172" s="76">
        <f>Materiais[[#This Row],[Custo Total
Com IPI (R$)]]/(1-Materiais[[#This Row],[Margem
(%)]])</f>
        <v>0</v>
      </c>
      <c r="N172" s="16">
        <f>Materiais[[#This Row],[Valor Venda c/ Potencial Desconto  em Material (R$)]]-Materiais[[#This Row],[Custo Total
Com IPI (R$)]]</f>
        <v>0</v>
      </c>
      <c r="O172" s="93">
        <f>Materiais[[#This Row],[Valor Total
Com Margem
Sem Tributos   (R$)]]/(1-('Valores Finais'!$C$10))</f>
        <v>0</v>
      </c>
      <c r="P172" s="93">
        <f>Materiais[[#This Row],[Valor Venda c/ Potencial Desconto  em Material (R$)]]/(1-('Valores Finais'!$B$6))</f>
        <v>0</v>
      </c>
      <c r="Q172" s="84">
        <f>'Valores Finais'!$B$10</f>
        <v>0.12</v>
      </c>
      <c r="R172" s="76">
        <f>Materiais[[#This Row],[Valor Venda c/ Comissões (R$)]]/(1-Materiais[[#This Row],[Tributos
(%)]])-Materiais[[#This Row],[Valor Venda c/ Comissões (R$)]]</f>
        <v>0</v>
      </c>
      <c r="S172" s="76">
        <f>Materiais[[#This Row],[Valor Venda c/ Comissões (R$)]]+Materiais[[#This Row],[Tributos
(R$)]]</f>
        <v>0</v>
      </c>
      <c r="T172" s="185"/>
      <c r="U172" s="186">
        <f ca="1">IF(Materiais[[#This Row],[Data Update]] = "",0,IF(_xlfn.DAYS(NOW(),Materiais[[#This Row],[Data Update]])&lt;=0,0,_xlfn.DAYS(NOW(),Materiais[[#This Row],[Data Update]])))</f>
        <v>0</v>
      </c>
    </row>
    <row r="173" spans="1:21" x14ac:dyDescent="0.2">
      <c r="A173" s="46"/>
      <c r="B173" s="46"/>
      <c r="C173" s="46"/>
      <c r="D173" s="46"/>
      <c r="E173" s="46"/>
      <c r="F173" s="138"/>
      <c r="G173" s="129"/>
      <c r="H173" s="180"/>
      <c r="I173" s="5">
        <f>(Materiais[[#This Row],[Qtde.]]*Materiais[[#This Row],[Custo Unitário
Sem Tributos (R$)]])</f>
        <v>0</v>
      </c>
      <c r="J173" s="92">
        <v>0</v>
      </c>
      <c r="K173" s="140">
        <f>Materiais[[#This Row],[Custo Total
Sem Tributos (R$)]]*Materiais[[#This Row],[IPI
(%)]]+Materiais[[#This Row],[Custo Total
Sem Tributos (R$)]]</f>
        <v>0</v>
      </c>
      <c r="L173" s="92">
        <v>0.1</v>
      </c>
      <c r="M173" s="76">
        <f>Materiais[[#This Row],[Custo Total
Com IPI (R$)]]/(1-Materiais[[#This Row],[Margem
(%)]])</f>
        <v>0</v>
      </c>
      <c r="N173" s="16">
        <f>Materiais[[#This Row],[Valor Venda c/ Potencial Desconto  em Material (R$)]]-Materiais[[#This Row],[Custo Total
Com IPI (R$)]]</f>
        <v>0</v>
      </c>
      <c r="O173" s="93">
        <f>Materiais[[#This Row],[Valor Total
Com Margem
Sem Tributos   (R$)]]/(1-('Valores Finais'!$C$10))</f>
        <v>0</v>
      </c>
      <c r="P173" s="93">
        <f>Materiais[[#This Row],[Valor Venda c/ Potencial Desconto  em Material (R$)]]/(1-('Valores Finais'!$B$6))</f>
        <v>0</v>
      </c>
      <c r="Q173" s="84">
        <f>'Valores Finais'!$B$10</f>
        <v>0.12</v>
      </c>
      <c r="R173" s="76">
        <f>Materiais[[#This Row],[Valor Venda c/ Comissões (R$)]]/(1-Materiais[[#This Row],[Tributos
(%)]])-Materiais[[#This Row],[Valor Venda c/ Comissões (R$)]]</f>
        <v>0</v>
      </c>
      <c r="S173" s="76">
        <f>Materiais[[#This Row],[Valor Venda c/ Comissões (R$)]]+Materiais[[#This Row],[Tributos
(R$)]]</f>
        <v>0</v>
      </c>
      <c r="T173" s="185"/>
      <c r="U173" s="186">
        <f ca="1">IF(Materiais[[#This Row],[Data Update]] = "",0,IF(_xlfn.DAYS(NOW(),Materiais[[#This Row],[Data Update]])&lt;=0,0,_xlfn.DAYS(NOW(),Materiais[[#This Row],[Data Update]])))</f>
        <v>0</v>
      </c>
    </row>
    <row r="174" spans="1:21" x14ac:dyDescent="0.2">
      <c r="A174" s="46"/>
      <c r="B174" s="46"/>
      <c r="C174" s="46"/>
      <c r="D174" s="46"/>
      <c r="E174" s="46"/>
      <c r="F174" s="138"/>
      <c r="G174" s="129"/>
      <c r="H174" s="180"/>
      <c r="I174" s="5">
        <f>(Materiais[[#This Row],[Qtde.]]*Materiais[[#This Row],[Custo Unitário
Sem Tributos (R$)]])</f>
        <v>0</v>
      </c>
      <c r="J174" s="92">
        <v>0</v>
      </c>
      <c r="K174" s="140">
        <f>Materiais[[#This Row],[Custo Total
Sem Tributos (R$)]]*Materiais[[#This Row],[IPI
(%)]]+Materiais[[#This Row],[Custo Total
Sem Tributos (R$)]]</f>
        <v>0</v>
      </c>
      <c r="L174" s="92">
        <v>0.1</v>
      </c>
      <c r="M174" s="76">
        <f>Materiais[[#This Row],[Custo Total
Com IPI (R$)]]/(1-Materiais[[#This Row],[Margem
(%)]])</f>
        <v>0</v>
      </c>
      <c r="N174" s="16">
        <f>Materiais[[#This Row],[Valor Venda c/ Potencial Desconto  em Material (R$)]]-Materiais[[#This Row],[Custo Total
Com IPI (R$)]]</f>
        <v>0</v>
      </c>
      <c r="O174" s="93">
        <f>Materiais[[#This Row],[Valor Total
Com Margem
Sem Tributos   (R$)]]/(1-('Valores Finais'!$C$10))</f>
        <v>0</v>
      </c>
      <c r="P174" s="93">
        <f>Materiais[[#This Row],[Valor Venda c/ Potencial Desconto  em Material (R$)]]/(1-('Valores Finais'!$B$6))</f>
        <v>0</v>
      </c>
      <c r="Q174" s="84">
        <f>'Valores Finais'!$B$10</f>
        <v>0.12</v>
      </c>
      <c r="R174" s="76">
        <f>Materiais[[#This Row],[Valor Venda c/ Comissões (R$)]]/(1-Materiais[[#This Row],[Tributos
(%)]])-Materiais[[#This Row],[Valor Venda c/ Comissões (R$)]]</f>
        <v>0</v>
      </c>
      <c r="S174" s="76">
        <f>Materiais[[#This Row],[Valor Venda c/ Comissões (R$)]]+Materiais[[#This Row],[Tributos
(R$)]]</f>
        <v>0</v>
      </c>
      <c r="T174" s="185"/>
      <c r="U174" s="186">
        <f ca="1">IF(Materiais[[#This Row],[Data Update]] = "",0,IF(_xlfn.DAYS(NOW(),Materiais[[#This Row],[Data Update]])&lt;=0,0,_xlfn.DAYS(NOW(),Materiais[[#This Row],[Data Update]])))</f>
        <v>0</v>
      </c>
    </row>
    <row r="175" spans="1:21" x14ac:dyDescent="0.2">
      <c r="A175" s="46"/>
      <c r="B175" s="46"/>
      <c r="C175" s="46"/>
      <c r="D175" s="46"/>
      <c r="E175" s="46"/>
      <c r="F175" s="138"/>
      <c r="G175" s="129"/>
      <c r="H175" s="180"/>
      <c r="I175" s="5">
        <f>(Materiais[[#This Row],[Qtde.]]*Materiais[[#This Row],[Custo Unitário
Sem Tributos (R$)]])</f>
        <v>0</v>
      </c>
      <c r="J175" s="92">
        <v>0</v>
      </c>
      <c r="K175" s="140">
        <f>Materiais[[#This Row],[Custo Total
Sem Tributos (R$)]]*Materiais[[#This Row],[IPI
(%)]]+Materiais[[#This Row],[Custo Total
Sem Tributos (R$)]]</f>
        <v>0</v>
      </c>
      <c r="L175" s="92">
        <v>0.1</v>
      </c>
      <c r="M175" s="76">
        <f>Materiais[[#This Row],[Custo Total
Com IPI (R$)]]/(1-Materiais[[#This Row],[Margem
(%)]])</f>
        <v>0</v>
      </c>
      <c r="N175" s="16">
        <f>Materiais[[#This Row],[Valor Venda c/ Potencial Desconto  em Material (R$)]]-Materiais[[#This Row],[Custo Total
Com IPI (R$)]]</f>
        <v>0</v>
      </c>
      <c r="O175" s="93">
        <f>Materiais[[#This Row],[Valor Total
Com Margem
Sem Tributos   (R$)]]/(1-('Valores Finais'!$C$10))</f>
        <v>0</v>
      </c>
      <c r="P175" s="93">
        <f>Materiais[[#This Row],[Valor Venda c/ Potencial Desconto  em Material (R$)]]/(1-('Valores Finais'!$B$6))</f>
        <v>0</v>
      </c>
      <c r="Q175" s="84">
        <f>'Valores Finais'!$B$10</f>
        <v>0.12</v>
      </c>
      <c r="R175" s="76">
        <f>Materiais[[#This Row],[Valor Venda c/ Comissões (R$)]]/(1-Materiais[[#This Row],[Tributos
(%)]])-Materiais[[#This Row],[Valor Venda c/ Comissões (R$)]]</f>
        <v>0</v>
      </c>
      <c r="S175" s="76">
        <f>Materiais[[#This Row],[Valor Venda c/ Comissões (R$)]]+Materiais[[#This Row],[Tributos
(R$)]]</f>
        <v>0</v>
      </c>
      <c r="T175" s="185"/>
      <c r="U175" s="186">
        <f ca="1">IF(Materiais[[#This Row],[Data Update]] = "",0,IF(_xlfn.DAYS(NOW(),Materiais[[#This Row],[Data Update]])&lt;=0,0,_xlfn.DAYS(NOW(),Materiais[[#This Row],[Data Update]])))</f>
        <v>0</v>
      </c>
    </row>
    <row r="176" spans="1:21" x14ac:dyDescent="0.2">
      <c r="A176" s="46"/>
      <c r="B176" s="46"/>
      <c r="C176" s="46"/>
      <c r="D176" s="46"/>
      <c r="E176" s="46"/>
      <c r="F176" s="138"/>
      <c r="G176" s="129"/>
      <c r="H176" s="180"/>
      <c r="I176" s="5">
        <f>(Materiais[[#This Row],[Qtde.]]*Materiais[[#This Row],[Custo Unitário
Sem Tributos (R$)]])</f>
        <v>0</v>
      </c>
      <c r="J176" s="92">
        <v>0</v>
      </c>
      <c r="K176" s="140">
        <f>Materiais[[#This Row],[Custo Total
Sem Tributos (R$)]]*Materiais[[#This Row],[IPI
(%)]]+Materiais[[#This Row],[Custo Total
Sem Tributos (R$)]]</f>
        <v>0</v>
      </c>
      <c r="L176" s="92">
        <v>0.1</v>
      </c>
      <c r="M176" s="76">
        <f>Materiais[[#This Row],[Custo Total
Com IPI (R$)]]/(1-Materiais[[#This Row],[Margem
(%)]])</f>
        <v>0</v>
      </c>
      <c r="N176" s="16">
        <f>Materiais[[#This Row],[Valor Venda c/ Potencial Desconto  em Material (R$)]]-Materiais[[#This Row],[Custo Total
Com IPI (R$)]]</f>
        <v>0</v>
      </c>
      <c r="O176" s="93">
        <f>Materiais[[#This Row],[Valor Total
Com Margem
Sem Tributos   (R$)]]/(1-('Valores Finais'!$C$10))</f>
        <v>0</v>
      </c>
      <c r="P176" s="93">
        <f>Materiais[[#This Row],[Valor Venda c/ Potencial Desconto  em Material (R$)]]/(1-('Valores Finais'!$B$6))</f>
        <v>0</v>
      </c>
      <c r="Q176" s="84">
        <f>'Valores Finais'!$B$10</f>
        <v>0.12</v>
      </c>
      <c r="R176" s="76">
        <f>Materiais[[#This Row],[Valor Venda c/ Comissões (R$)]]/(1-Materiais[[#This Row],[Tributos
(%)]])-Materiais[[#This Row],[Valor Venda c/ Comissões (R$)]]</f>
        <v>0</v>
      </c>
      <c r="S176" s="76">
        <f>Materiais[[#This Row],[Valor Venda c/ Comissões (R$)]]+Materiais[[#This Row],[Tributos
(R$)]]</f>
        <v>0</v>
      </c>
      <c r="T176" s="185"/>
      <c r="U176" s="186">
        <f ca="1">IF(Materiais[[#This Row],[Data Update]] = "",0,IF(_xlfn.DAYS(NOW(),Materiais[[#This Row],[Data Update]])&lt;=0,0,_xlfn.DAYS(NOW(),Materiais[[#This Row],[Data Update]])))</f>
        <v>0</v>
      </c>
    </row>
    <row r="177" spans="1:21" x14ac:dyDescent="0.2">
      <c r="A177" s="46"/>
      <c r="B177" s="46"/>
      <c r="C177" s="46"/>
      <c r="D177" s="46"/>
      <c r="E177" s="46"/>
      <c r="F177" s="138"/>
      <c r="G177" s="129"/>
      <c r="H177" s="180"/>
      <c r="I177" s="5">
        <f>(Materiais[[#This Row],[Qtde.]]*Materiais[[#This Row],[Custo Unitário
Sem Tributos (R$)]])</f>
        <v>0</v>
      </c>
      <c r="J177" s="92">
        <v>0</v>
      </c>
      <c r="K177" s="140">
        <f>Materiais[[#This Row],[Custo Total
Sem Tributos (R$)]]*Materiais[[#This Row],[IPI
(%)]]+Materiais[[#This Row],[Custo Total
Sem Tributos (R$)]]</f>
        <v>0</v>
      </c>
      <c r="L177" s="92">
        <v>0.1</v>
      </c>
      <c r="M177" s="76">
        <f>Materiais[[#This Row],[Custo Total
Com IPI (R$)]]/(1-Materiais[[#This Row],[Margem
(%)]])</f>
        <v>0</v>
      </c>
      <c r="N177" s="16">
        <f>Materiais[[#This Row],[Valor Venda c/ Potencial Desconto  em Material (R$)]]-Materiais[[#This Row],[Custo Total
Com IPI (R$)]]</f>
        <v>0</v>
      </c>
      <c r="O177" s="93">
        <f>Materiais[[#This Row],[Valor Total
Com Margem
Sem Tributos   (R$)]]/(1-('Valores Finais'!$C$10))</f>
        <v>0</v>
      </c>
      <c r="P177" s="93">
        <f>Materiais[[#This Row],[Valor Venda c/ Potencial Desconto  em Material (R$)]]/(1-('Valores Finais'!$B$6))</f>
        <v>0</v>
      </c>
      <c r="Q177" s="84">
        <f>'Valores Finais'!$B$10</f>
        <v>0.12</v>
      </c>
      <c r="R177" s="76">
        <f>Materiais[[#This Row],[Valor Venda c/ Comissões (R$)]]/(1-Materiais[[#This Row],[Tributos
(%)]])-Materiais[[#This Row],[Valor Venda c/ Comissões (R$)]]</f>
        <v>0</v>
      </c>
      <c r="S177" s="76">
        <f>Materiais[[#This Row],[Valor Venda c/ Comissões (R$)]]+Materiais[[#This Row],[Tributos
(R$)]]</f>
        <v>0</v>
      </c>
      <c r="T177" s="185"/>
      <c r="U177" s="186">
        <f ca="1">IF(Materiais[[#This Row],[Data Update]] = "",0,IF(_xlfn.DAYS(NOW(),Materiais[[#This Row],[Data Update]])&lt;=0,0,_xlfn.DAYS(NOW(),Materiais[[#This Row],[Data Update]])))</f>
        <v>0</v>
      </c>
    </row>
    <row r="178" spans="1:21" x14ac:dyDescent="0.2">
      <c r="A178" s="46"/>
      <c r="B178" s="46"/>
      <c r="C178" s="46"/>
      <c r="D178" s="46"/>
      <c r="E178" s="46"/>
      <c r="F178" s="138"/>
      <c r="G178" s="129"/>
      <c r="H178" s="180"/>
      <c r="I178" s="5">
        <f>(Materiais[[#This Row],[Qtde.]]*Materiais[[#This Row],[Custo Unitário
Sem Tributos (R$)]])</f>
        <v>0</v>
      </c>
      <c r="J178" s="92">
        <v>0</v>
      </c>
      <c r="K178" s="140">
        <f>Materiais[[#This Row],[Custo Total
Sem Tributos (R$)]]*Materiais[[#This Row],[IPI
(%)]]+Materiais[[#This Row],[Custo Total
Sem Tributos (R$)]]</f>
        <v>0</v>
      </c>
      <c r="L178" s="92">
        <v>0.1</v>
      </c>
      <c r="M178" s="76">
        <f>Materiais[[#This Row],[Custo Total
Com IPI (R$)]]/(1-Materiais[[#This Row],[Margem
(%)]])</f>
        <v>0</v>
      </c>
      <c r="N178" s="16">
        <f>Materiais[[#This Row],[Valor Venda c/ Potencial Desconto  em Material (R$)]]-Materiais[[#This Row],[Custo Total
Com IPI (R$)]]</f>
        <v>0</v>
      </c>
      <c r="O178" s="93">
        <f>Materiais[[#This Row],[Valor Total
Com Margem
Sem Tributos   (R$)]]/(1-('Valores Finais'!$C$10))</f>
        <v>0</v>
      </c>
      <c r="P178" s="93">
        <f>Materiais[[#This Row],[Valor Venda c/ Potencial Desconto  em Material (R$)]]/(1-('Valores Finais'!$B$6))</f>
        <v>0</v>
      </c>
      <c r="Q178" s="84">
        <f>'Valores Finais'!$B$10</f>
        <v>0.12</v>
      </c>
      <c r="R178" s="76">
        <f>Materiais[[#This Row],[Valor Venda c/ Comissões (R$)]]/(1-Materiais[[#This Row],[Tributos
(%)]])-Materiais[[#This Row],[Valor Venda c/ Comissões (R$)]]</f>
        <v>0</v>
      </c>
      <c r="S178" s="76">
        <f>Materiais[[#This Row],[Valor Venda c/ Comissões (R$)]]+Materiais[[#This Row],[Tributos
(R$)]]</f>
        <v>0</v>
      </c>
      <c r="T178" s="185"/>
      <c r="U178" s="186">
        <f ca="1">IF(Materiais[[#This Row],[Data Update]] = "",0,IF(_xlfn.DAYS(NOW(),Materiais[[#This Row],[Data Update]])&lt;=0,0,_xlfn.DAYS(NOW(),Materiais[[#This Row],[Data Update]])))</f>
        <v>0</v>
      </c>
    </row>
    <row r="179" spans="1:21" x14ac:dyDescent="0.2">
      <c r="A179" s="46"/>
      <c r="B179" s="46"/>
      <c r="C179" s="46"/>
      <c r="D179" s="46"/>
      <c r="E179" s="46"/>
      <c r="F179" s="138"/>
      <c r="G179" s="129"/>
      <c r="H179" s="180"/>
      <c r="I179" s="5">
        <f>(Materiais[[#This Row],[Qtde.]]*Materiais[[#This Row],[Custo Unitário
Sem Tributos (R$)]])</f>
        <v>0</v>
      </c>
      <c r="J179" s="92">
        <v>0</v>
      </c>
      <c r="K179" s="140">
        <f>Materiais[[#This Row],[Custo Total
Sem Tributos (R$)]]*Materiais[[#This Row],[IPI
(%)]]+Materiais[[#This Row],[Custo Total
Sem Tributos (R$)]]</f>
        <v>0</v>
      </c>
      <c r="L179" s="92">
        <v>0.1</v>
      </c>
      <c r="M179" s="76">
        <f>Materiais[[#This Row],[Custo Total
Com IPI (R$)]]/(1-Materiais[[#This Row],[Margem
(%)]])</f>
        <v>0</v>
      </c>
      <c r="N179" s="16">
        <f>Materiais[[#This Row],[Valor Venda c/ Potencial Desconto  em Material (R$)]]-Materiais[[#This Row],[Custo Total
Com IPI (R$)]]</f>
        <v>0</v>
      </c>
      <c r="O179" s="93">
        <f>Materiais[[#This Row],[Valor Total
Com Margem
Sem Tributos   (R$)]]/(1-('Valores Finais'!$C$10))</f>
        <v>0</v>
      </c>
      <c r="P179" s="93">
        <f>Materiais[[#This Row],[Valor Venda c/ Potencial Desconto  em Material (R$)]]/(1-('Valores Finais'!$B$6))</f>
        <v>0</v>
      </c>
      <c r="Q179" s="84">
        <f>'Valores Finais'!$B$10</f>
        <v>0.12</v>
      </c>
      <c r="R179" s="76">
        <f>Materiais[[#This Row],[Valor Venda c/ Comissões (R$)]]/(1-Materiais[[#This Row],[Tributos
(%)]])-Materiais[[#This Row],[Valor Venda c/ Comissões (R$)]]</f>
        <v>0</v>
      </c>
      <c r="S179" s="76">
        <f>Materiais[[#This Row],[Valor Venda c/ Comissões (R$)]]+Materiais[[#This Row],[Tributos
(R$)]]</f>
        <v>0</v>
      </c>
      <c r="T179" s="185"/>
      <c r="U179" s="186">
        <f ca="1">IF(Materiais[[#This Row],[Data Update]] = "",0,IF(_xlfn.DAYS(NOW(),Materiais[[#This Row],[Data Update]])&lt;=0,0,_xlfn.DAYS(NOW(),Materiais[[#This Row],[Data Update]])))</f>
        <v>0</v>
      </c>
    </row>
    <row r="180" spans="1:21" x14ac:dyDescent="0.2">
      <c r="A180" s="46"/>
      <c r="B180" s="46"/>
      <c r="C180" s="46"/>
      <c r="D180" s="46"/>
      <c r="E180" s="46"/>
      <c r="F180" s="138"/>
      <c r="G180" s="129"/>
      <c r="H180" s="180"/>
      <c r="I180" s="5">
        <f>(Materiais[[#This Row],[Qtde.]]*Materiais[[#This Row],[Custo Unitário
Sem Tributos (R$)]])</f>
        <v>0</v>
      </c>
      <c r="J180" s="92">
        <v>0</v>
      </c>
      <c r="K180" s="140">
        <f>Materiais[[#This Row],[Custo Total
Sem Tributos (R$)]]*Materiais[[#This Row],[IPI
(%)]]+Materiais[[#This Row],[Custo Total
Sem Tributos (R$)]]</f>
        <v>0</v>
      </c>
      <c r="L180" s="92">
        <v>0.1</v>
      </c>
      <c r="M180" s="76">
        <f>Materiais[[#This Row],[Custo Total
Com IPI (R$)]]/(1-Materiais[[#This Row],[Margem
(%)]])</f>
        <v>0</v>
      </c>
      <c r="N180" s="16">
        <f>Materiais[[#This Row],[Valor Venda c/ Potencial Desconto  em Material (R$)]]-Materiais[[#This Row],[Custo Total
Com IPI (R$)]]</f>
        <v>0</v>
      </c>
      <c r="O180" s="93">
        <f>Materiais[[#This Row],[Valor Total
Com Margem
Sem Tributos   (R$)]]/(1-('Valores Finais'!$C$10))</f>
        <v>0</v>
      </c>
      <c r="P180" s="93">
        <f>Materiais[[#This Row],[Valor Venda c/ Potencial Desconto  em Material (R$)]]/(1-('Valores Finais'!$B$6))</f>
        <v>0</v>
      </c>
      <c r="Q180" s="84">
        <f>'Valores Finais'!$B$10</f>
        <v>0.12</v>
      </c>
      <c r="R180" s="76">
        <f>Materiais[[#This Row],[Valor Venda c/ Comissões (R$)]]/(1-Materiais[[#This Row],[Tributos
(%)]])-Materiais[[#This Row],[Valor Venda c/ Comissões (R$)]]</f>
        <v>0</v>
      </c>
      <c r="S180" s="76">
        <f>Materiais[[#This Row],[Valor Venda c/ Comissões (R$)]]+Materiais[[#This Row],[Tributos
(R$)]]</f>
        <v>0</v>
      </c>
      <c r="T180" s="185"/>
      <c r="U180" s="186">
        <f ca="1">IF(Materiais[[#This Row],[Data Update]] = "",0,IF(_xlfn.DAYS(NOW(),Materiais[[#This Row],[Data Update]])&lt;=0,0,_xlfn.DAYS(NOW(),Materiais[[#This Row],[Data Update]])))</f>
        <v>0</v>
      </c>
    </row>
    <row r="181" spans="1:21" x14ac:dyDescent="0.2">
      <c r="A181" s="46"/>
      <c r="B181" s="46"/>
      <c r="C181" s="46"/>
      <c r="D181" s="46"/>
      <c r="E181" s="46"/>
      <c r="F181" s="138"/>
      <c r="G181" s="129"/>
      <c r="H181" s="180"/>
      <c r="I181" s="5">
        <f>(Materiais[[#This Row],[Qtde.]]*Materiais[[#This Row],[Custo Unitário
Sem Tributos (R$)]])</f>
        <v>0</v>
      </c>
      <c r="J181" s="92">
        <v>0</v>
      </c>
      <c r="K181" s="140">
        <f>Materiais[[#This Row],[Custo Total
Sem Tributos (R$)]]*Materiais[[#This Row],[IPI
(%)]]+Materiais[[#This Row],[Custo Total
Sem Tributos (R$)]]</f>
        <v>0</v>
      </c>
      <c r="L181" s="92">
        <v>0.1</v>
      </c>
      <c r="M181" s="76">
        <f>Materiais[[#This Row],[Custo Total
Com IPI (R$)]]/(1-Materiais[[#This Row],[Margem
(%)]])</f>
        <v>0</v>
      </c>
      <c r="N181" s="16">
        <f>Materiais[[#This Row],[Valor Venda c/ Potencial Desconto  em Material (R$)]]-Materiais[[#This Row],[Custo Total
Com IPI (R$)]]</f>
        <v>0</v>
      </c>
      <c r="O181" s="93">
        <f>Materiais[[#This Row],[Valor Total
Com Margem
Sem Tributos   (R$)]]/(1-('Valores Finais'!$C$10))</f>
        <v>0</v>
      </c>
      <c r="P181" s="93">
        <f>Materiais[[#This Row],[Valor Venda c/ Potencial Desconto  em Material (R$)]]/(1-('Valores Finais'!$B$6))</f>
        <v>0</v>
      </c>
      <c r="Q181" s="84">
        <f>'Valores Finais'!$B$10</f>
        <v>0.12</v>
      </c>
      <c r="R181" s="76">
        <f>Materiais[[#This Row],[Valor Venda c/ Comissões (R$)]]/(1-Materiais[[#This Row],[Tributos
(%)]])-Materiais[[#This Row],[Valor Venda c/ Comissões (R$)]]</f>
        <v>0</v>
      </c>
      <c r="S181" s="76">
        <f>Materiais[[#This Row],[Valor Venda c/ Comissões (R$)]]+Materiais[[#This Row],[Tributos
(R$)]]</f>
        <v>0</v>
      </c>
      <c r="T181" s="185"/>
      <c r="U181" s="186">
        <f ca="1">IF(Materiais[[#This Row],[Data Update]] = "",0,IF(_xlfn.DAYS(NOW(),Materiais[[#This Row],[Data Update]])&lt;=0,0,_xlfn.DAYS(NOW(),Materiais[[#This Row],[Data Update]])))</f>
        <v>0</v>
      </c>
    </row>
    <row r="182" spans="1:21" x14ac:dyDescent="0.2">
      <c r="A182" s="46"/>
      <c r="B182" s="46"/>
      <c r="C182" s="46"/>
      <c r="D182" s="46"/>
      <c r="E182" s="46"/>
      <c r="F182" s="138"/>
      <c r="G182" s="129"/>
      <c r="H182" s="180"/>
      <c r="I182" s="5">
        <f>(Materiais[[#This Row],[Qtde.]]*Materiais[[#This Row],[Custo Unitário
Sem Tributos (R$)]])</f>
        <v>0</v>
      </c>
      <c r="J182" s="92">
        <v>0</v>
      </c>
      <c r="K182" s="140">
        <f>Materiais[[#This Row],[Custo Total
Sem Tributos (R$)]]*Materiais[[#This Row],[IPI
(%)]]+Materiais[[#This Row],[Custo Total
Sem Tributos (R$)]]</f>
        <v>0</v>
      </c>
      <c r="L182" s="92">
        <v>0.1</v>
      </c>
      <c r="M182" s="76">
        <f>Materiais[[#This Row],[Custo Total
Com IPI (R$)]]/(1-Materiais[[#This Row],[Margem
(%)]])</f>
        <v>0</v>
      </c>
      <c r="N182" s="16">
        <f>Materiais[[#This Row],[Valor Venda c/ Potencial Desconto  em Material (R$)]]-Materiais[[#This Row],[Custo Total
Com IPI (R$)]]</f>
        <v>0</v>
      </c>
      <c r="O182" s="93">
        <f>Materiais[[#This Row],[Valor Total
Com Margem
Sem Tributos   (R$)]]/(1-('Valores Finais'!$C$10))</f>
        <v>0</v>
      </c>
      <c r="P182" s="93">
        <f>Materiais[[#This Row],[Valor Venda c/ Potencial Desconto  em Material (R$)]]/(1-('Valores Finais'!$B$6))</f>
        <v>0</v>
      </c>
      <c r="Q182" s="84">
        <f>'Valores Finais'!$B$10</f>
        <v>0.12</v>
      </c>
      <c r="R182" s="76">
        <f>Materiais[[#This Row],[Valor Venda c/ Comissões (R$)]]/(1-Materiais[[#This Row],[Tributos
(%)]])-Materiais[[#This Row],[Valor Venda c/ Comissões (R$)]]</f>
        <v>0</v>
      </c>
      <c r="S182" s="76">
        <f>Materiais[[#This Row],[Valor Venda c/ Comissões (R$)]]+Materiais[[#This Row],[Tributos
(R$)]]</f>
        <v>0</v>
      </c>
      <c r="T182" s="185"/>
      <c r="U182" s="186">
        <f ca="1">IF(Materiais[[#This Row],[Data Update]] = "",0,IF(_xlfn.DAYS(NOW(),Materiais[[#This Row],[Data Update]])&lt;=0,0,_xlfn.DAYS(NOW(),Materiais[[#This Row],[Data Update]])))</f>
        <v>0</v>
      </c>
    </row>
    <row r="183" spans="1:21" x14ac:dyDescent="0.2">
      <c r="A183" s="46"/>
      <c r="B183" s="46"/>
      <c r="C183" s="46"/>
      <c r="D183" s="46"/>
      <c r="E183" s="46"/>
      <c r="F183" s="138"/>
      <c r="G183" s="129"/>
      <c r="H183" s="180"/>
      <c r="I183" s="5">
        <f>(Materiais[[#This Row],[Qtde.]]*Materiais[[#This Row],[Custo Unitário
Sem Tributos (R$)]])</f>
        <v>0</v>
      </c>
      <c r="J183" s="92">
        <v>0</v>
      </c>
      <c r="K183" s="140">
        <f>Materiais[[#This Row],[Custo Total
Sem Tributos (R$)]]*Materiais[[#This Row],[IPI
(%)]]+Materiais[[#This Row],[Custo Total
Sem Tributos (R$)]]</f>
        <v>0</v>
      </c>
      <c r="L183" s="92">
        <v>0.1</v>
      </c>
      <c r="M183" s="76">
        <f>Materiais[[#This Row],[Custo Total
Com IPI (R$)]]/(1-Materiais[[#This Row],[Margem
(%)]])</f>
        <v>0</v>
      </c>
      <c r="N183" s="16">
        <f>Materiais[[#This Row],[Valor Venda c/ Potencial Desconto  em Material (R$)]]-Materiais[[#This Row],[Custo Total
Com IPI (R$)]]</f>
        <v>0</v>
      </c>
      <c r="O183" s="93">
        <f>Materiais[[#This Row],[Valor Total
Com Margem
Sem Tributos   (R$)]]/(1-('Valores Finais'!$C$10))</f>
        <v>0</v>
      </c>
      <c r="P183" s="93">
        <f>Materiais[[#This Row],[Valor Venda c/ Potencial Desconto  em Material (R$)]]/(1-('Valores Finais'!$B$6))</f>
        <v>0</v>
      </c>
      <c r="Q183" s="84">
        <f>'Valores Finais'!$B$10</f>
        <v>0.12</v>
      </c>
      <c r="R183" s="76">
        <f>Materiais[[#This Row],[Valor Venda c/ Comissões (R$)]]/(1-Materiais[[#This Row],[Tributos
(%)]])-Materiais[[#This Row],[Valor Venda c/ Comissões (R$)]]</f>
        <v>0</v>
      </c>
      <c r="S183" s="76">
        <f>Materiais[[#This Row],[Valor Venda c/ Comissões (R$)]]+Materiais[[#This Row],[Tributos
(R$)]]</f>
        <v>0</v>
      </c>
      <c r="T183" s="185"/>
      <c r="U183" s="186">
        <f ca="1">IF(Materiais[[#This Row],[Data Update]] = "",0,IF(_xlfn.DAYS(NOW(),Materiais[[#This Row],[Data Update]])&lt;=0,0,_xlfn.DAYS(NOW(),Materiais[[#This Row],[Data Update]])))</f>
        <v>0</v>
      </c>
    </row>
    <row r="184" spans="1:21" x14ac:dyDescent="0.2">
      <c r="A184" s="46"/>
      <c r="B184" s="46"/>
      <c r="C184" s="46"/>
      <c r="D184" s="46"/>
      <c r="E184" s="46"/>
      <c r="F184" s="138"/>
      <c r="G184" s="129"/>
      <c r="H184" s="180"/>
      <c r="I184" s="5">
        <f>(Materiais[[#This Row],[Qtde.]]*Materiais[[#This Row],[Custo Unitário
Sem Tributos (R$)]])</f>
        <v>0</v>
      </c>
      <c r="J184" s="92">
        <v>0</v>
      </c>
      <c r="K184" s="140">
        <f>Materiais[[#This Row],[Custo Total
Sem Tributos (R$)]]*Materiais[[#This Row],[IPI
(%)]]+Materiais[[#This Row],[Custo Total
Sem Tributos (R$)]]</f>
        <v>0</v>
      </c>
      <c r="L184" s="92">
        <v>0.1</v>
      </c>
      <c r="M184" s="76">
        <f>Materiais[[#This Row],[Custo Total
Com IPI (R$)]]/(1-Materiais[[#This Row],[Margem
(%)]])</f>
        <v>0</v>
      </c>
      <c r="N184" s="16">
        <f>Materiais[[#This Row],[Valor Venda c/ Potencial Desconto  em Material (R$)]]-Materiais[[#This Row],[Custo Total
Com IPI (R$)]]</f>
        <v>0</v>
      </c>
      <c r="O184" s="93">
        <f>Materiais[[#This Row],[Valor Total
Com Margem
Sem Tributos   (R$)]]/(1-('Valores Finais'!$C$10))</f>
        <v>0</v>
      </c>
      <c r="P184" s="93">
        <f>Materiais[[#This Row],[Valor Venda c/ Potencial Desconto  em Material (R$)]]/(1-('Valores Finais'!$B$6))</f>
        <v>0</v>
      </c>
      <c r="Q184" s="84">
        <f>'Valores Finais'!$B$10</f>
        <v>0.12</v>
      </c>
      <c r="R184" s="76">
        <f>Materiais[[#This Row],[Valor Venda c/ Comissões (R$)]]/(1-Materiais[[#This Row],[Tributos
(%)]])-Materiais[[#This Row],[Valor Venda c/ Comissões (R$)]]</f>
        <v>0</v>
      </c>
      <c r="S184" s="76">
        <f>Materiais[[#This Row],[Valor Venda c/ Comissões (R$)]]+Materiais[[#This Row],[Tributos
(R$)]]</f>
        <v>0</v>
      </c>
      <c r="T184" s="185"/>
      <c r="U184" s="186">
        <f ca="1">IF(Materiais[[#This Row],[Data Update]] = "",0,IF(_xlfn.DAYS(NOW(),Materiais[[#This Row],[Data Update]])&lt;=0,0,_xlfn.DAYS(NOW(),Materiais[[#This Row],[Data Update]])))</f>
        <v>0</v>
      </c>
    </row>
    <row r="185" spans="1:21" x14ac:dyDescent="0.2">
      <c r="A185" s="46"/>
      <c r="B185" s="46"/>
      <c r="C185" s="46"/>
      <c r="D185" s="46"/>
      <c r="E185" s="46"/>
      <c r="F185" s="138"/>
      <c r="G185" s="129"/>
      <c r="H185" s="180"/>
      <c r="I185" s="5">
        <f>(Materiais[[#This Row],[Qtde.]]*Materiais[[#This Row],[Custo Unitário
Sem Tributos (R$)]])</f>
        <v>0</v>
      </c>
      <c r="J185" s="92">
        <v>0</v>
      </c>
      <c r="K185" s="140">
        <f>Materiais[[#This Row],[Custo Total
Sem Tributos (R$)]]*Materiais[[#This Row],[IPI
(%)]]+Materiais[[#This Row],[Custo Total
Sem Tributos (R$)]]</f>
        <v>0</v>
      </c>
      <c r="L185" s="92">
        <v>0.1</v>
      </c>
      <c r="M185" s="76">
        <f>Materiais[[#This Row],[Custo Total
Com IPI (R$)]]/(1-Materiais[[#This Row],[Margem
(%)]])</f>
        <v>0</v>
      </c>
      <c r="N185" s="16">
        <f>Materiais[[#This Row],[Valor Venda c/ Potencial Desconto  em Material (R$)]]-Materiais[[#This Row],[Custo Total
Com IPI (R$)]]</f>
        <v>0</v>
      </c>
      <c r="O185" s="93">
        <f>Materiais[[#This Row],[Valor Total
Com Margem
Sem Tributos   (R$)]]/(1-('Valores Finais'!$C$10))</f>
        <v>0</v>
      </c>
      <c r="P185" s="93">
        <f>Materiais[[#This Row],[Valor Venda c/ Potencial Desconto  em Material (R$)]]/(1-('Valores Finais'!$B$6))</f>
        <v>0</v>
      </c>
      <c r="Q185" s="84">
        <f>'Valores Finais'!$B$10</f>
        <v>0.12</v>
      </c>
      <c r="R185" s="76">
        <f>Materiais[[#This Row],[Valor Venda c/ Comissões (R$)]]/(1-Materiais[[#This Row],[Tributos
(%)]])-Materiais[[#This Row],[Valor Venda c/ Comissões (R$)]]</f>
        <v>0</v>
      </c>
      <c r="S185" s="76">
        <f>Materiais[[#This Row],[Valor Venda c/ Comissões (R$)]]+Materiais[[#This Row],[Tributos
(R$)]]</f>
        <v>0</v>
      </c>
      <c r="T185" s="185"/>
      <c r="U185" s="186">
        <f ca="1">IF(Materiais[[#This Row],[Data Update]] = "",0,IF(_xlfn.DAYS(NOW(),Materiais[[#This Row],[Data Update]])&lt;=0,0,_xlfn.DAYS(NOW(),Materiais[[#This Row],[Data Update]])))</f>
        <v>0</v>
      </c>
    </row>
    <row r="186" spans="1:21" x14ac:dyDescent="0.2">
      <c r="A186" s="46"/>
      <c r="B186" s="46"/>
      <c r="C186" s="46"/>
      <c r="D186" s="46"/>
      <c r="E186" s="46"/>
      <c r="F186" s="138"/>
      <c r="G186" s="129"/>
      <c r="H186" s="180"/>
      <c r="I186" s="5">
        <f>(Materiais[[#This Row],[Qtde.]]*Materiais[[#This Row],[Custo Unitário
Sem Tributos (R$)]])</f>
        <v>0</v>
      </c>
      <c r="J186" s="92">
        <v>0</v>
      </c>
      <c r="K186" s="140">
        <f>Materiais[[#This Row],[Custo Total
Sem Tributos (R$)]]*Materiais[[#This Row],[IPI
(%)]]+Materiais[[#This Row],[Custo Total
Sem Tributos (R$)]]</f>
        <v>0</v>
      </c>
      <c r="L186" s="92">
        <v>0.1</v>
      </c>
      <c r="M186" s="76">
        <f>Materiais[[#This Row],[Custo Total
Com IPI (R$)]]/(1-Materiais[[#This Row],[Margem
(%)]])</f>
        <v>0</v>
      </c>
      <c r="N186" s="16">
        <f>Materiais[[#This Row],[Valor Venda c/ Potencial Desconto  em Material (R$)]]-Materiais[[#This Row],[Custo Total
Com IPI (R$)]]</f>
        <v>0</v>
      </c>
      <c r="O186" s="93">
        <f>Materiais[[#This Row],[Valor Total
Com Margem
Sem Tributos   (R$)]]/(1-('Valores Finais'!$C$10))</f>
        <v>0</v>
      </c>
      <c r="P186" s="93">
        <f>Materiais[[#This Row],[Valor Venda c/ Potencial Desconto  em Material (R$)]]/(1-('Valores Finais'!$B$6))</f>
        <v>0</v>
      </c>
      <c r="Q186" s="84">
        <f>'Valores Finais'!$B$10</f>
        <v>0.12</v>
      </c>
      <c r="R186" s="76">
        <f>Materiais[[#This Row],[Valor Venda c/ Comissões (R$)]]/(1-Materiais[[#This Row],[Tributos
(%)]])-Materiais[[#This Row],[Valor Venda c/ Comissões (R$)]]</f>
        <v>0</v>
      </c>
      <c r="S186" s="76">
        <f>Materiais[[#This Row],[Valor Venda c/ Comissões (R$)]]+Materiais[[#This Row],[Tributos
(R$)]]</f>
        <v>0</v>
      </c>
      <c r="T186" s="185"/>
      <c r="U186" s="186">
        <f ca="1">IF(Materiais[[#This Row],[Data Update]] = "",0,IF(_xlfn.DAYS(NOW(),Materiais[[#This Row],[Data Update]])&lt;=0,0,_xlfn.DAYS(NOW(),Materiais[[#This Row],[Data Update]])))</f>
        <v>0</v>
      </c>
    </row>
    <row r="187" spans="1:21" x14ac:dyDescent="0.2">
      <c r="A187" s="46"/>
      <c r="B187" s="46"/>
      <c r="C187" s="46"/>
      <c r="D187" s="46"/>
      <c r="E187" s="46"/>
      <c r="F187" s="138"/>
      <c r="G187" s="129"/>
      <c r="H187" s="180"/>
      <c r="I187" s="5">
        <f>(Materiais[[#This Row],[Qtde.]]*Materiais[[#This Row],[Custo Unitário
Sem Tributos (R$)]])</f>
        <v>0</v>
      </c>
      <c r="J187" s="92">
        <v>0</v>
      </c>
      <c r="K187" s="140">
        <f>Materiais[[#This Row],[Custo Total
Sem Tributos (R$)]]*Materiais[[#This Row],[IPI
(%)]]+Materiais[[#This Row],[Custo Total
Sem Tributos (R$)]]</f>
        <v>0</v>
      </c>
      <c r="L187" s="92">
        <v>0.1</v>
      </c>
      <c r="M187" s="76">
        <f>Materiais[[#This Row],[Custo Total
Com IPI (R$)]]/(1-Materiais[[#This Row],[Margem
(%)]])</f>
        <v>0</v>
      </c>
      <c r="N187" s="16">
        <f>Materiais[[#This Row],[Valor Venda c/ Potencial Desconto  em Material (R$)]]-Materiais[[#This Row],[Custo Total
Com IPI (R$)]]</f>
        <v>0</v>
      </c>
      <c r="O187" s="93">
        <f>Materiais[[#This Row],[Valor Total
Com Margem
Sem Tributos   (R$)]]/(1-('Valores Finais'!$C$10))</f>
        <v>0</v>
      </c>
      <c r="P187" s="93">
        <f>Materiais[[#This Row],[Valor Venda c/ Potencial Desconto  em Material (R$)]]/(1-('Valores Finais'!$B$6))</f>
        <v>0</v>
      </c>
      <c r="Q187" s="84">
        <f>'Valores Finais'!$B$10</f>
        <v>0.12</v>
      </c>
      <c r="R187" s="76">
        <f>Materiais[[#This Row],[Valor Venda c/ Comissões (R$)]]/(1-Materiais[[#This Row],[Tributos
(%)]])-Materiais[[#This Row],[Valor Venda c/ Comissões (R$)]]</f>
        <v>0</v>
      </c>
      <c r="S187" s="76">
        <f>Materiais[[#This Row],[Valor Venda c/ Comissões (R$)]]+Materiais[[#This Row],[Tributos
(R$)]]</f>
        <v>0</v>
      </c>
      <c r="T187" s="185"/>
      <c r="U187" s="186">
        <f ca="1">IF(Materiais[[#This Row],[Data Update]] = "",0,IF(_xlfn.DAYS(NOW(),Materiais[[#This Row],[Data Update]])&lt;=0,0,_xlfn.DAYS(NOW(),Materiais[[#This Row],[Data Update]])))</f>
        <v>0</v>
      </c>
    </row>
    <row r="188" spans="1:21" x14ac:dyDescent="0.2">
      <c r="A188" s="46"/>
      <c r="B188" s="46"/>
      <c r="C188" s="46"/>
      <c r="D188" s="46"/>
      <c r="E188" s="46"/>
      <c r="F188" s="138"/>
      <c r="G188" s="129"/>
      <c r="H188" s="180"/>
      <c r="I188" s="5">
        <f>(Materiais[[#This Row],[Qtde.]]*Materiais[[#This Row],[Custo Unitário
Sem Tributos (R$)]])</f>
        <v>0</v>
      </c>
      <c r="J188" s="92">
        <v>0</v>
      </c>
      <c r="K188" s="140">
        <f>Materiais[[#This Row],[Custo Total
Sem Tributos (R$)]]*Materiais[[#This Row],[IPI
(%)]]+Materiais[[#This Row],[Custo Total
Sem Tributos (R$)]]</f>
        <v>0</v>
      </c>
      <c r="L188" s="92">
        <v>0.1</v>
      </c>
      <c r="M188" s="76">
        <f>Materiais[[#This Row],[Custo Total
Com IPI (R$)]]/(1-Materiais[[#This Row],[Margem
(%)]])</f>
        <v>0</v>
      </c>
      <c r="N188" s="16">
        <f>Materiais[[#This Row],[Valor Venda c/ Potencial Desconto  em Material (R$)]]-Materiais[[#This Row],[Custo Total
Com IPI (R$)]]</f>
        <v>0</v>
      </c>
      <c r="O188" s="93">
        <f>Materiais[[#This Row],[Valor Total
Com Margem
Sem Tributos   (R$)]]/(1-('Valores Finais'!$C$10))</f>
        <v>0</v>
      </c>
      <c r="P188" s="93">
        <f>Materiais[[#This Row],[Valor Venda c/ Potencial Desconto  em Material (R$)]]/(1-('Valores Finais'!$B$6))</f>
        <v>0</v>
      </c>
      <c r="Q188" s="84">
        <f>'Valores Finais'!$B$10</f>
        <v>0.12</v>
      </c>
      <c r="R188" s="76">
        <f>Materiais[[#This Row],[Valor Venda c/ Comissões (R$)]]/(1-Materiais[[#This Row],[Tributos
(%)]])-Materiais[[#This Row],[Valor Venda c/ Comissões (R$)]]</f>
        <v>0</v>
      </c>
      <c r="S188" s="76">
        <f>Materiais[[#This Row],[Valor Venda c/ Comissões (R$)]]+Materiais[[#This Row],[Tributos
(R$)]]</f>
        <v>0</v>
      </c>
      <c r="T188" s="185"/>
      <c r="U188" s="186">
        <f ca="1">IF(Materiais[[#This Row],[Data Update]] = "",0,IF(_xlfn.DAYS(NOW(),Materiais[[#This Row],[Data Update]])&lt;=0,0,_xlfn.DAYS(NOW(),Materiais[[#This Row],[Data Update]])))</f>
        <v>0</v>
      </c>
    </row>
    <row r="189" spans="1:21" x14ac:dyDescent="0.2">
      <c r="A189" s="46"/>
      <c r="B189" s="46"/>
      <c r="C189" s="46"/>
      <c r="D189" s="46"/>
      <c r="E189" s="46"/>
      <c r="F189" s="138"/>
      <c r="G189" s="129"/>
      <c r="H189" s="180"/>
      <c r="I189" s="5">
        <f>(Materiais[[#This Row],[Qtde.]]*Materiais[[#This Row],[Custo Unitário
Sem Tributos (R$)]])</f>
        <v>0</v>
      </c>
      <c r="J189" s="92">
        <v>0</v>
      </c>
      <c r="K189" s="140">
        <f>Materiais[[#This Row],[Custo Total
Sem Tributos (R$)]]*Materiais[[#This Row],[IPI
(%)]]+Materiais[[#This Row],[Custo Total
Sem Tributos (R$)]]</f>
        <v>0</v>
      </c>
      <c r="L189" s="92">
        <v>0.1</v>
      </c>
      <c r="M189" s="76">
        <f>Materiais[[#This Row],[Custo Total
Com IPI (R$)]]/(1-Materiais[[#This Row],[Margem
(%)]])</f>
        <v>0</v>
      </c>
      <c r="N189" s="16">
        <f>Materiais[[#This Row],[Valor Venda c/ Potencial Desconto  em Material (R$)]]-Materiais[[#This Row],[Custo Total
Com IPI (R$)]]</f>
        <v>0</v>
      </c>
      <c r="O189" s="93">
        <f>Materiais[[#This Row],[Valor Total
Com Margem
Sem Tributos   (R$)]]/(1-('Valores Finais'!$C$10))</f>
        <v>0</v>
      </c>
      <c r="P189" s="93">
        <f>Materiais[[#This Row],[Valor Venda c/ Potencial Desconto  em Material (R$)]]/(1-('Valores Finais'!$B$6))</f>
        <v>0</v>
      </c>
      <c r="Q189" s="84">
        <f>'Valores Finais'!$B$10</f>
        <v>0.12</v>
      </c>
      <c r="R189" s="76">
        <f>Materiais[[#This Row],[Valor Venda c/ Comissões (R$)]]/(1-Materiais[[#This Row],[Tributos
(%)]])-Materiais[[#This Row],[Valor Venda c/ Comissões (R$)]]</f>
        <v>0</v>
      </c>
      <c r="S189" s="76">
        <f>Materiais[[#This Row],[Valor Venda c/ Comissões (R$)]]+Materiais[[#This Row],[Tributos
(R$)]]</f>
        <v>0</v>
      </c>
      <c r="T189" s="185"/>
      <c r="U189" s="186">
        <f ca="1">IF(Materiais[[#This Row],[Data Update]] = "",0,IF(_xlfn.DAYS(NOW(),Materiais[[#This Row],[Data Update]])&lt;=0,0,_xlfn.DAYS(NOW(),Materiais[[#This Row],[Data Update]])))</f>
        <v>0</v>
      </c>
    </row>
    <row r="190" spans="1:21" x14ac:dyDescent="0.2">
      <c r="A190" s="46"/>
      <c r="B190" s="46"/>
      <c r="C190" s="46"/>
      <c r="D190" s="46"/>
      <c r="E190" s="46"/>
      <c r="F190" s="138"/>
      <c r="G190" s="129"/>
      <c r="H190" s="180"/>
      <c r="I190" s="5">
        <f>(Materiais[[#This Row],[Qtde.]]*Materiais[[#This Row],[Custo Unitário
Sem Tributos (R$)]])</f>
        <v>0</v>
      </c>
      <c r="J190" s="92">
        <v>0</v>
      </c>
      <c r="K190" s="140">
        <f>Materiais[[#This Row],[Custo Total
Sem Tributos (R$)]]*Materiais[[#This Row],[IPI
(%)]]+Materiais[[#This Row],[Custo Total
Sem Tributos (R$)]]</f>
        <v>0</v>
      </c>
      <c r="L190" s="92">
        <v>0.1</v>
      </c>
      <c r="M190" s="76">
        <f>Materiais[[#This Row],[Custo Total
Com IPI (R$)]]/(1-Materiais[[#This Row],[Margem
(%)]])</f>
        <v>0</v>
      </c>
      <c r="N190" s="16">
        <f>Materiais[[#This Row],[Valor Venda c/ Potencial Desconto  em Material (R$)]]-Materiais[[#This Row],[Custo Total
Com IPI (R$)]]</f>
        <v>0</v>
      </c>
      <c r="O190" s="93">
        <f>Materiais[[#This Row],[Valor Total
Com Margem
Sem Tributos   (R$)]]/(1-('Valores Finais'!$C$10))</f>
        <v>0</v>
      </c>
      <c r="P190" s="93">
        <f>Materiais[[#This Row],[Valor Venda c/ Potencial Desconto  em Material (R$)]]/(1-('Valores Finais'!$B$6))</f>
        <v>0</v>
      </c>
      <c r="Q190" s="84">
        <f>'Valores Finais'!$B$10</f>
        <v>0.12</v>
      </c>
      <c r="R190" s="76">
        <f>Materiais[[#This Row],[Valor Venda c/ Comissões (R$)]]/(1-Materiais[[#This Row],[Tributos
(%)]])-Materiais[[#This Row],[Valor Venda c/ Comissões (R$)]]</f>
        <v>0</v>
      </c>
      <c r="S190" s="76">
        <f>Materiais[[#This Row],[Valor Venda c/ Comissões (R$)]]+Materiais[[#This Row],[Tributos
(R$)]]</f>
        <v>0</v>
      </c>
      <c r="T190" s="185"/>
      <c r="U190" s="186">
        <f ca="1">IF(Materiais[[#This Row],[Data Update]] = "",0,IF(_xlfn.DAYS(NOW(),Materiais[[#This Row],[Data Update]])&lt;=0,0,_xlfn.DAYS(NOW(),Materiais[[#This Row],[Data Update]])))</f>
        <v>0</v>
      </c>
    </row>
    <row r="191" spans="1:21" x14ac:dyDescent="0.2">
      <c r="A191" s="46"/>
      <c r="B191" s="46"/>
      <c r="C191" s="46"/>
      <c r="D191" s="46"/>
      <c r="E191" s="46"/>
      <c r="F191" s="138"/>
      <c r="G191" s="129"/>
      <c r="H191" s="180"/>
      <c r="I191" s="5">
        <f>(Materiais[[#This Row],[Qtde.]]*Materiais[[#This Row],[Custo Unitário
Sem Tributos (R$)]])</f>
        <v>0</v>
      </c>
      <c r="J191" s="92">
        <v>0</v>
      </c>
      <c r="K191" s="140">
        <f>Materiais[[#This Row],[Custo Total
Sem Tributos (R$)]]*Materiais[[#This Row],[IPI
(%)]]+Materiais[[#This Row],[Custo Total
Sem Tributos (R$)]]</f>
        <v>0</v>
      </c>
      <c r="L191" s="92">
        <v>0.1</v>
      </c>
      <c r="M191" s="76">
        <f>Materiais[[#This Row],[Custo Total
Com IPI (R$)]]/(1-Materiais[[#This Row],[Margem
(%)]])</f>
        <v>0</v>
      </c>
      <c r="N191" s="16">
        <f>Materiais[[#This Row],[Valor Venda c/ Potencial Desconto  em Material (R$)]]-Materiais[[#This Row],[Custo Total
Com IPI (R$)]]</f>
        <v>0</v>
      </c>
      <c r="O191" s="93">
        <f>Materiais[[#This Row],[Valor Total
Com Margem
Sem Tributos   (R$)]]/(1-('Valores Finais'!$C$10))</f>
        <v>0</v>
      </c>
      <c r="P191" s="93">
        <f>Materiais[[#This Row],[Valor Venda c/ Potencial Desconto  em Material (R$)]]/(1-('Valores Finais'!$B$6))</f>
        <v>0</v>
      </c>
      <c r="Q191" s="84">
        <f>'Valores Finais'!$B$10</f>
        <v>0.12</v>
      </c>
      <c r="R191" s="76">
        <f>Materiais[[#This Row],[Valor Venda c/ Comissões (R$)]]/(1-Materiais[[#This Row],[Tributos
(%)]])-Materiais[[#This Row],[Valor Venda c/ Comissões (R$)]]</f>
        <v>0</v>
      </c>
      <c r="S191" s="76">
        <f>Materiais[[#This Row],[Valor Venda c/ Comissões (R$)]]+Materiais[[#This Row],[Tributos
(R$)]]</f>
        <v>0</v>
      </c>
      <c r="T191" s="185"/>
      <c r="U191" s="186">
        <f ca="1">IF(Materiais[[#This Row],[Data Update]] = "",0,IF(_xlfn.DAYS(NOW(),Materiais[[#This Row],[Data Update]])&lt;=0,0,_xlfn.DAYS(NOW(),Materiais[[#This Row],[Data Update]])))</f>
        <v>0</v>
      </c>
    </row>
    <row r="192" spans="1:21" x14ac:dyDescent="0.2">
      <c r="A192" s="46"/>
      <c r="B192" s="46"/>
      <c r="C192" s="46"/>
      <c r="D192" s="46"/>
      <c r="E192" s="46"/>
      <c r="F192" s="138"/>
      <c r="G192" s="129"/>
      <c r="H192" s="180"/>
      <c r="I192" s="5">
        <f>(Materiais[[#This Row],[Qtde.]]*Materiais[[#This Row],[Custo Unitário
Sem Tributos (R$)]])</f>
        <v>0</v>
      </c>
      <c r="J192" s="92">
        <v>0</v>
      </c>
      <c r="K192" s="140">
        <f>Materiais[[#This Row],[Custo Total
Sem Tributos (R$)]]*Materiais[[#This Row],[IPI
(%)]]+Materiais[[#This Row],[Custo Total
Sem Tributos (R$)]]</f>
        <v>0</v>
      </c>
      <c r="L192" s="92">
        <v>0.1</v>
      </c>
      <c r="M192" s="76">
        <f>Materiais[[#This Row],[Custo Total
Com IPI (R$)]]/(1-Materiais[[#This Row],[Margem
(%)]])</f>
        <v>0</v>
      </c>
      <c r="N192" s="16">
        <f>Materiais[[#This Row],[Valor Venda c/ Potencial Desconto  em Material (R$)]]-Materiais[[#This Row],[Custo Total
Com IPI (R$)]]</f>
        <v>0</v>
      </c>
      <c r="O192" s="93">
        <f>Materiais[[#This Row],[Valor Total
Com Margem
Sem Tributos   (R$)]]/(1-('Valores Finais'!$C$10))</f>
        <v>0</v>
      </c>
      <c r="P192" s="93">
        <f>Materiais[[#This Row],[Valor Venda c/ Potencial Desconto  em Material (R$)]]/(1-('Valores Finais'!$B$6))</f>
        <v>0</v>
      </c>
      <c r="Q192" s="84">
        <f>'Valores Finais'!$B$10</f>
        <v>0.12</v>
      </c>
      <c r="R192" s="76">
        <f>Materiais[[#This Row],[Valor Venda c/ Comissões (R$)]]/(1-Materiais[[#This Row],[Tributos
(%)]])-Materiais[[#This Row],[Valor Venda c/ Comissões (R$)]]</f>
        <v>0</v>
      </c>
      <c r="S192" s="76">
        <f>Materiais[[#This Row],[Valor Venda c/ Comissões (R$)]]+Materiais[[#This Row],[Tributos
(R$)]]</f>
        <v>0</v>
      </c>
      <c r="T192" s="185"/>
      <c r="U192" s="186">
        <f ca="1">IF(Materiais[[#This Row],[Data Update]] = "",0,IF(_xlfn.DAYS(NOW(),Materiais[[#This Row],[Data Update]])&lt;=0,0,_xlfn.DAYS(NOW(),Materiais[[#This Row],[Data Update]])))</f>
        <v>0</v>
      </c>
    </row>
    <row r="193" spans="1:21" x14ac:dyDescent="0.2">
      <c r="A193" s="46"/>
      <c r="B193" s="46"/>
      <c r="C193" s="46"/>
      <c r="D193" s="46"/>
      <c r="E193" s="46"/>
      <c r="F193" s="138"/>
      <c r="G193" s="129"/>
      <c r="H193" s="180"/>
      <c r="I193" s="5">
        <f>(Materiais[[#This Row],[Qtde.]]*Materiais[[#This Row],[Custo Unitário
Sem Tributos (R$)]])</f>
        <v>0</v>
      </c>
      <c r="J193" s="92">
        <v>0</v>
      </c>
      <c r="K193" s="140">
        <f>Materiais[[#This Row],[Custo Total
Sem Tributos (R$)]]*Materiais[[#This Row],[IPI
(%)]]+Materiais[[#This Row],[Custo Total
Sem Tributos (R$)]]</f>
        <v>0</v>
      </c>
      <c r="L193" s="92">
        <v>0.1</v>
      </c>
      <c r="M193" s="76">
        <f>Materiais[[#This Row],[Custo Total
Com IPI (R$)]]/(1-Materiais[[#This Row],[Margem
(%)]])</f>
        <v>0</v>
      </c>
      <c r="N193" s="16">
        <f>Materiais[[#This Row],[Valor Venda c/ Potencial Desconto  em Material (R$)]]-Materiais[[#This Row],[Custo Total
Com IPI (R$)]]</f>
        <v>0</v>
      </c>
      <c r="O193" s="93">
        <f>Materiais[[#This Row],[Valor Total
Com Margem
Sem Tributos   (R$)]]/(1-('Valores Finais'!$C$10))</f>
        <v>0</v>
      </c>
      <c r="P193" s="93">
        <f>Materiais[[#This Row],[Valor Venda c/ Potencial Desconto  em Material (R$)]]/(1-('Valores Finais'!$B$6))</f>
        <v>0</v>
      </c>
      <c r="Q193" s="84">
        <f>'Valores Finais'!$B$10</f>
        <v>0.12</v>
      </c>
      <c r="R193" s="76">
        <f>Materiais[[#This Row],[Valor Venda c/ Comissões (R$)]]/(1-Materiais[[#This Row],[Tributos
(%)]])-Materiais[[#This Row],[Valor Venda c/ Comissões (R$)]]</f>
        <v>0</v>
      </c>
      <c r="S193" s="76">
        <f>Materiais[[#This Row],[Valor Venda c/ Comissões (R$)]]+Materiais[[#This Row],[Tributos
(R$)]]</f>
        <v>0</v>
      </c>
      <c r="T193" s="185"/>
      <c r="U193" s="186">
        <f ca="1">IF(Materiais[[#This Row],[Data Update]] = "",0,IF(_xlfn.DAYS(NOW(),Materiais[[#This Row],[Data Update]])&lt;=0,0,_xlfn.DAYS(NOW(),Materiais[[#This Row],[Data Update]])))</f>
        <v>0</v>
      </c>
    </row>
    <row r="194" spans="1:21" x14ac:dyDescent="0.2">
      <c r="A194" s="46"/>
      <c r="B194" s="46"/>
      <c r="C194" s="46"/>
      <c r="D194" s="46"/>
      <c r="E194" s="46"/>
      <c r="F194" s="138"/>
      <c r="G194" s="129"/>
      <c r="H194" s="180"/>
      <c r="I194" s="5">
        <f>(Materiais[[#This Row],[Qtde.]]*Materiais[[#This Row],[Custo Unitário
Sem Tributos (R$)]])</f>
        <v>0</v>
      </c>
      <c r="J194" s="92">
        <v>0</v>
      </c>
      <c r="K194" s="140">
        <f>Materiais[[#This Row],[Custo Total
Sem Tributos (R$)]]*Materiais[[#This Row],[IPI
(%)]]+Materiais[[#This Row],[Custo Total
Sem Tributos (R$)]]</f>
        <v>0</v>
      </c>
      <c r="L194" s="92">
        <v>0.1</v>
      </c>
      <c r="M194" s="76">
        <f>Materiais[[#This Row],[Custo Total
Com IPI (R$)]]/(1-Materiais[[#This Row],[Margem
(%)]])</f>
        <v>0</v>
      </c>
      <c r="N194" s="16">
        <f>Materiais[[#This Row],[Valor Venda c/ Potencial Desconto  em Material (R$)]]-Materiais[[#This Row],[Custo Total
Com IPI (R$)]]</f>
        <v>0</v>
      </c>
      <c r="O194" s="93">
        <f>Materiais[[#This Row],[Valor Total
Com Margem
Sem Tributos   (R$)]]/(1-('Valores Finais'!$C$10))</f>
        <v>0</v>
      </c>
      <c r="P194" s="93">
        <f>Materiais[[#This Row],[Valor Venda c/ Potencial Desconto  em Material (R$)]]/(1-('Valores Finais'!$B$6))</f>
        <v>0</v>
      </c>
      <c r="Q194" s="84">
        <f>'Valores Finais'!$B$10</f>
        <v>0.12</v>
      </c>
      <c r="R194" s="76">
        <f>Materiais[[#This Row],[Valor Venda c/ Comissões (R$)]]/(1-Materiais[[#This Row],[Tributos
(%)]])-Materiais[[#This Row],[Valor Venda c/ Comissões (R$)]]</f>
        <v>0</v>
      </c>
      <c r="S194" s="76">
        <f>Materiais[[#This Row],[Valor Venda c/ Comissões (R$)]]+Materiais[[#This Row],[Tributos
(R$)]]</f>
        <v>0</v>
      </c>
      <c r="T194" s="185"/>
      <c r="U194" s="186">
        <f ca="1">IF(Materiais[[#This Row],[Data Update]] = "",0,IF(_xlfn.DAYS(NOW(),Materiais[[#This Row],[Data Update]])&lt;=0,0,_xlfn.DAYS(NOW(),Materiais[[#This Row],[Data Update]])))</f>
        <v>0</v>
      </c>
    </row>
    <row r="195" spans="1:21" x14ac:dyDescent="0.2">
      <c r="A195" s="46"/>
      <c r="B195" s="46"/>
      <c r="C195" s="46"/>
      <c r="D195" s="46"/>
      <c r="E195" s="46"/>
      <c r="F195" s="138"/>
      <c r="G195" s="129"/>
      <c r="H195" s="180"/>
      <c r="I195" s="5">
        <f>(Materiais[[#This Row],[Qtde.]]*Materiais[[#This Row],[Custo Unitário
Sem Tributos (R$)]])</f>
        <v>0</v>
      </c>
      <c r="J195" s="92">
        <v>0</v>
      </c>
      <c r="K195" s="140">
        <f>Materiais[[#This Row],[Custo Total
Sem Tributos (R$)]]*Materiais[[#This Row],[IPI
(%)]]+Materiais[[#This Row],[Custo Total
Sem Tributos (R$)]]</f>
        <v>0</v>
      </c>
      <c r="L195" s="92">
        <v>0.1</v>
      </c>
      <c r="M195" s="76">
        <f>Materiais[[#This Row],[Custo Total
Com IPI (R$)]]/(1-Materiais[[#This Row],[Margem
(%)]])</f>
        <v>0</v>
      </c>
      <c r="N195" s="16">
        <f>Materiais[[#This Row],[Valor Venda c/ Potencial Desconto  em Material (R$)]]-Materiais[[#This Row],[Custo Total
Com IPI (R$)]]</f>
        <v>0</v>
      </c>
      <c r="O195" s="93">
        <f>Materiais[[#This Row],[Valor Total
Com Margem
Sem Tributos   (R$)]]/(1-('Valores Finais'!$C$10))</f>
        <v>0</v>
      </c>
      <c r="P195" s="93">
        <f>Materiais[[#This Row],[Valor Venda c/ Potencial Desconto  em Material (R$)]]/(1-('Valores Finais'!$B$6))</f>
        <v>0</v>
      </c>
      <c r="Q195" s="84">
        <f>'Valores Finais'!$B$10</f>
        <v>0.12</v>
      </c>
      <c r="R195" s="76">
        <f>Materiais[[#This Row],[Valor Venda c/ Comissões (R$)]]/(1-Materiais[[#This Row],[Tributos
(%)]])-Materiais[[#This Row],[Valor Venda c/ Comissões (R$)]]</f>
        <v>0</v>
      </c>
      <c r="S195" s="76">
        <f>Materiais[[#This Row],[Valor Venda c/ Comissões (R$)]]+Materiais[[#This Row],[Tributos
(R$)]]</f>
        <v>0</v>
      </c>
      <c r="T195" s="185"/>
      <c r="U195" s="186">
        <f ca="1">IF(Materiais[[#This Row],[Data Update]] = "",0,IF(_xlfn.DAYS(NOW(),Materiais[[#This Row],[Data Update]])&lt;=0,0,_xlfn.DAYS(NOW(),Materiais[[#This Row],[Data Update]])))</f>
        <v>0</v>
      </c>
    </row>
    <row r="196" spans="1:21" x14ac:dyDescent="0.2">
      <c r="A196" s="46"/>
      <c r="B196" s="46"/>
      <c r="C196" s="46"/>
      <c r="D196" s="46"/>
      <c r="E196" s="46"/>
      <c r="F196" s="138"/>
      <c r="G196" s="129"/>
      <c r="H196" s="180"/>
      <c r="I196" s="5">
        <f>(Materiais[[#This Row],[Qtde.]]*Materiais[[#This Row],[Custo Unitário
Sem Tributos (R$)]])</f>
        <v>0</v>
      </c>
      <c r="J196" s="92">
        <v>0</v>
      </c>
      <c r="K196" s="140">
        <f>Materiais[[#This Row],[Custo Total
Sem Tributos (R$)]]*Materiais[[#This Row],[IPI
(%)]]+Materiais[[#This Row],[Custo Total
Sem Tributos (R$)]]</f>
        <v>0</v>
      </c>
      <c r="L196" s="92">
        <v>0.1</v>
      </c>
      <c r="M196" s="76">
        <f>Materiais[[#This Row],[Custo Total
Com IPI (R$)]]/(1-Materiais[[#This Row],[Margem
(%)]])</f>
        <v>0</v>
      </c>
      <c r="N196" s="16">
        <f>Materiais[[#This Row],[Valor Venda c/ Potencial Desconto  em Material (R$)]]-Materiais[[#This Row],[Custo Total
Com IPI (R$)]]</f>
        <v>0</v>
      </c>
      <c r="O196" s="93">
        <f>Materiais[[#This Row],[Valor Total
Com Margem
Sem Tributos   (R$)]]/(1-('Valores Finais'!$C$10))</f>
        <v>0</v>
      </c>
      <c r="P196" s="93">
        <f>Materiais[[#This Row],[Valor Venda c/ Potencial Desconto  em Material (R$)]]/(1-('Valores Finais'!$B$6))</f>
        <v>0</v>
      </c>
      <c r="Q196" s="84">
        <f>'Valores Finais'!$B$10</f>
        <v>0.12</v>
      </c>
      <c r="R196" s="76">
        <f>Materiais[[#This Row],[Valor Venda c/ Comissões (R$)]]/(1-Materiais[[#This Row],[Tributos
(%)]])-Materiais[[#This Row],[Valor Venda c/ Comissões (R$)]]</f>
        <v>0</v>
      </c>
      <c r="S196" s="76">
        <f>Materiais[[#This Row],[Valor Venda c/ Comissões (R$)]]+Materiais[[#This Row],[Tributos
(R$)]]</f>
        <v>0</v>
      </c>
      <c r="T196" s="185"/>
      <c r="U196" s="186">
        <f ca="1">IF(Materiais[[#This Row],[Data Update]] = "",0,IF(_xlfn.DAYS(NOW(),Materiais[[#This Row],[Data Update]])&lt;=0,0,_xlfn.DAYS(NOW(),Materiais[[#This Row],[Data Update]])))</f>
        <v>0</v>
      </c>
    </row>
    <row r="197" spans="1:21" x14ac:dyDescent="0.2">
      <c r="A197" s="46"/>
      <c r="B197" s="46"/>
      <c r="C197" s="46"/>
      <c r="D197" s="46"/>
      <c r="E197" s="46"/>
      <c r="F197" s="138"/>
      <c r="G197" s="129"/>
      <c r="H197" s="180"/>
      <c r="I197" s="5">
        <f>(Materiais[[#This Row],[Qtde.]]*Materiais[[#This Row],[Custo Unitário
Sem Tributos (R$)]])</f>
        <v>0</v>
      </c>
      <c r="J197" s="92">
        <v>0</v>
      </c>
      <c r="K197" s="140">
        <f>Materiais[[#This Row],[Custo Total
Sem Tributos (R$)]]*Materiais[[#This Row],[IPI
(%)]]+Materiais[[#This Row],[Custo Total
Sem Tributos (R$)]]</f>
        <v>0</v>
      </c>
      <c r="L197" s="92">
        <v>0.1</v>
      </c>
      <c r="M197" s="76">
        <f>Materiais[[#This Row],[Custo Total
Com IPI (R$)]]/(1-Materiais[[#This Row],[Margem
(%)]])</f>
        <v>0</v>
      </c>
      <c r="N197" s="16">
        <f>Materiais[[#This Row],[Valor Venda c/ Potencial Desconto  em Material (R$)]]-Materiais[[#This Row],[Custo Total
Com IPI (R$)]]</f>
        <v>0</v>
      </c>
      <c r="O197" s="93">
        <f>Materiais[[#This Row],[Valor Total
Com Margem
Sem Tributos   (R$)]]/(1-('Valores Finais'!$C$10))</f>
        <v>0</v>
      </c>
      <c r="P197" s="93">
        <f>Materiais[[#This Row],[Valor Venda c/ Potencial Desconto  em Material (R$)]]/(1-('Valores Finais'!$B$6))</f>
        <v>0</v>
      </c>
      <c r="Q197" s="84">
        <f>'Valores Finais'!$B$10</f>
        <v>0.12</v>
      </c>
      <c r="R197" s="76">
        <f>Materiais[[#This Row],[Valor Venda c/ Comissões (R$)]]/(1-Materiais[[#This Row],[Tributos
(%)]])-Materiais[[#This Row],[Valor Venda c/ Comissões (R$)]]</f>
        <v>0</v>
      </c>
      <c r="S197" s="76">
        <f>Materiais[[#This Row],[Valor Venda c/ Comissões (R$)]]+Materiais[[#This Row],[Tributos
(R$)]]</f>
        <v>0</v>
      </c>
      <c r="T197" s="185"/>
      <c r="U197" s="186">
        <f ca="1">IF(Materiais[[#This Row],[Data Update]] = "",0,IF(_xlfn.DAYS(NOW(),Materiais[[#This Row],[Data Update]])&lt;=0,0,_xlfn.DAYS(NOW(),Materiais[[#This Row],[Data Update]])))</f>
        <v>0</v>
      </c>
    </row>
    <row r="198" spans="1:21" x14ac:dyDescent="0.2">
      <c r="A198" s="46"/>
      <c r="B198" s="46"/>
      <c r="C198" s="46"/>
      <c r="D198" s="46"/>
      <c r="E198" s="46"/>
      <c r="F198" s="138"/>
      <c r="G198" s="129"/>
      <c r="H198" s="180"/>
      <c r="I198" s="5">
        <f>(Materiais[[#This Row],[Qtde.]]*Materiais[[#This Row],[Custo Unitário
Sem Tributos (R$)]])</f>
        <v>0</v>
      </c>
      <c r="J198" s="92">
        <v>0</v>
      </c>
      <c r="K198" s="140">
        <f>Materiais[[#This Row],[Custo Total
Sem Tributos (R$)]]*Materiais[[#This Row],[IPI
(%)]]+Materiais[[#This Row],[Custo Total
Sem Tributos (R$)]]</f>
        <v>0</v>
      </c>
      <c r="L198" s="92">
        <v>0.1</v>
      </c>
      <c r="M198" s="76">
        <f>Materiais[[#This Row],[Custo Total
Com IPI (R$)]]/(1-Materiais[[#This Row],[Margem
(%)]])</f>
        <v>0</v>
      </c>
      <c r="N198" s="16">
        <f>Materiais[[#This Row],[Valor Venda c/ Potencial Desconto  em Material (R$)]]-Materiais[[#This Row],[Custo Total
Com IPI (R$)]]</f>
        <v>0</v>
      </c>
      <c r="O198" s="93">
        <f>Materiais[[#This Row],[Valor Total
Com Margem
Sem Tributos   (R$)]]/(1-('Valores Finais'!$C$10))</f>
        <v>0</v>
      </c>
      <c r="P198" s="93">
        <f>Materiais[[#This Row],[Valor Venda c/ Potencial Desconto  em Material (R$)]]/(1-('Valores Finais'!$B$6))</f>
        <v>0</v>
      </c>
      <c r="Q198" s="84">
        <f>'Valores Finais'!$B$10</f>
        <v>0.12</v>
      </c>
      <c r="R198" s="76">
        <f>Materiais[[#This Row],[Valor Venda c/ Comissões (R$)]]/(1-Materiais[[#This Row],[Tributos
(%)]])-Materiais[[#This Row],[Valor Venda c/ Comissões (R$)]]</f>
        <v>0</v>
      </c>
      <c r="S198" s="76">
        <f>Materiais[[#This Row],[Valor Venda c/ Comissões (R$)]]+Materiais[[#This Row],[Tributos
(R$)]]</f>
        <v>0</v>
      </c>
      <c r="T198" s="185"/>
      <c r="U198" s="186">
        <f ca="1">IF(Materiais[[#This Row],[Data Update]] = "",0,IF(_xlfn.DAYS(NOW(),Materiais[[#This Row],[Data Update]])&lt;=0,0,_xlfn.DAYS(NOW(),Materiais[[#This Row],[Data Update]])))</f>
        <v>0</v>
      </c>
    </row>
    <row r="199" spans="1:21" x14ac:dyDescent="0.2">
      <c r="A199" s="46"/>
      <c r="B199" s="46"/>
      <c r="C199" s="46"/>
      <c r="D199" s="46"/>
      <c r="E199" s="46"/>
      <c r="F199" s="138"/>
      <c r="G199" s="129"/>
      <c r="H199" s="180"/>
      <c r="I199" s="5">
        <f>(Materiais[[#This Row],[Qtde.]]*Materiais[[#This Row],[Custo Unitário
Sem Tributos (R$)]])</f>
        <v>0</v>
      </c>
      <c r="J199" s="92">
        <v>0</v>
      </c>
      <c r="K199" s="140">
        <f>Materiais[[#This Row],[Custo Total
Sem Tributos (R$)]]*Materiais[[#This Row],[IPI
(%)]]+Materiais[[#This Row],[Custo Total
Sem Tributos (R$)]]</f>
        <v>0</v>
      </c>
      <c r="L199" s="92">
        <v>0.1</v>
      </c>
      <c r="M199" s="76">
        <f>Materiais[[#This Row],[Custo Total
Com IPI (R$)]]/(1-Materiais[[#This Row],[Margem
(%)]])</f>
        <v>0</v>
      </c>
      <c r="N199" s="16">
        <f>Materiais[[#This Row],[Valor Venda c/ Potencial Desconto  em Material (R$)]]-Materiais[[#This Row],[Custo Total
Com IPI (R$)]]</f>
        <v>0</v>
      </c>
      <c r="O199" s="93">
        <f>Materiais[[#This Row],[Valor Total
Com Margem
Sem Tributos   (R$)]]/(1-('Valores Finais'!$C$10))</f>
        <v>0</v>
      </c>
      <c r="P199" s="93">
        <f>Materiais[[#This Row],[Valor Venda c/ Potencial Desconto  em Material (R$)]]/(1-('Valores Finais'!$B$6))</f>
        <v>0</v>
      </c>
      <c r="Q199" s="84">
        <f>'Valores Finais'!$B$10</f>
        <v>0.12</v>
      </c>
      <c r="R199" s="76">
        <f>Materiais[[#This Row],[Valor Venda c/ Comissões (R$)]]/(1-Materiais[[#This Row],[Tributos
(%)]])-Materiais[[#This Row],[Valor Venda c/ Comissões (R$)]]</f>
        <v>0</v>
      </c>
      <c r="S199" s="76">
        <f>Materiais[[#This Row],[Valor Venda c/ Comissões (R$)]]+Materiais[[#This Row],[Tributos
(R$)]]</f>
        <v>0</v>
      </c>
      <c r="T199" s="185"/>
      <c r="U199" s="186">
        <f ca="1">IF(Materiais[[#This Row],[Data Update]] = "",0,IF(_xlfn.DAYS(NOW(),Materiais[[#This Row],[Data Update]])&lt;=0,0,_xlfn.DAYS(NOW(),Materiais[[#This Row],[Data Update]])))</f>
        <v>0</v>
      </c>
    </row>
    <row r="200" spans="1:21" x14ac:dyDescent="0.2">
      <c r="A200" s="46"/>
      <c r="B200" s="46"/>
      <c r="C200" s="46"/>
      <c r="D200" s="46"/>
      <c r="E200" s="46"/>
      <c r="F200" s="138"/>
      <c r="G200" s="129"/>
      <c r="H200" s="180"/>
      <c r="I200" s="5">
        <f>(Materiais[[#This Row],[Qtde.]]*Materiais[[#This Row],[Custo Unitário
Sem Tributos (R$)]])</f>
        <v>0</v>
      </c>
      <c r="J200" s="92">
        <v>0</v>
      </c>
      <c r="K200" s="140">
        <f>Materiais[[#This Row],[Custo Total
Sem Tributos (R$)]]*Materiais[[#This Row],[IPI
(%)]]+Materiais[[#This Row],[Custo Total
Sem Tributos (R$)]]</f>
        <v>0</v>
      </c>
      <c r="L200" s="92">
        <v>0.1</v>
      </c>
      <c r="M200" s="76">
        <f>Materiais[[#This Row],[Custo Total
Com IPI (R$)]]/(1-Materiais[[#This Row],[Margem
(%)]])</f>
        <v>0</v>
      </c>
      <c r="N200" s="16">
        <f>Materiais[[#This Row],[Valor Venda c/ Potencial Desconto  em Material (R$)]]-Materiais[[#This Row],[Custo Total
Com IPI (R$)]]</f>
        <v>0</v>
      </c>
      <c r="O200" s="93">
        <f>Materiais[[#This Row],[Valor Total
Com Margem
Sem Tributos   (R$)]]/(1-('Valores Finais'!$C$10))</f>
        <v>0</v>
      </c>
      <c r="P200" s="93">
        <f>Materiais[[#This Row],[Valor Venda c/ Potencial Desconto  em Material (R$)]]/(1-('Valores Finais'!$B$6))</f>
        <v>0</v>
      </c>
      <c r="Q200" s="84">
        <f>'Valores Finais'!$B$10</f>
        <v>0.12</v>
      </c>
      <c r="R200" s="76">
        <f>Materiais[[#This Row],[Valor Venda c/ Comissões (R$)]]/(1-Materiais[[#This Row],[Tributos
(%)]])-Materiais[[#This Row],[Valor Venda c/ Comissões (R$)]]</f>
        <v>0</v>
      </c>
      <c r="S200" s="76">
        <f>Materiais[[#This Row],[Valor Venda c/ Comissões (R$)]]+Materiais[[#This Row],[Tributos
(R$)]]</f>
        <v>0</v>
      </c>
      <c r="T200" s="185"/>
      <c r="U200" s="186">
        <f ca="1">IF(Materiais[[#This Row],[Data Update]] = "",0,IF(_xlfn.DAYS(NOW(),Materiais[[#This Row],[Data Update]])&lt;=0,0,_xlfn.DAYS(NOW(),Materiais[[#This Row],[Data Update]])))</f>
        <v>0</v>
      </c>
    </row>
    <row r="201" spans="1:21" x14ac:dyDescent="0.2">
      <c r="A201" s="46"/>
      <c r="B201" s="46"/>
      <c r="C201" s="46"/>
      <c r="D201" s="46"/>
      <c r="E201" s="46"/>
      <c r="F201" s="138"/>
      <c r="G201" s="129"/>
      <c r="H201" s="180"/>
      <c r="I201" s="5">
        <f>(Materiais[[#This Row],[Qtde.]]*Materiais[[#This Row],[Custo Unitário
Sem Tributos (R$)]])</f>
        <v>0</v>
      </c>
      <c r="J201" s="92">
        <v>0</v>
      </c>
      <c r="K201" s="140">
        <f>Materiais[[#This Row],[Custo Total
Sem Tributos (R$)]]*Materiais[[#This Row],[IPI
(%)]]+Materiais[[#This Row],[Custo Total
Sem Tributos (R$)]]</f>
        <v>0</v>
      </c>
      <c r="L201" s="92">
        <v>0.1</v>
      </c>
      <c r="M201" s="76">
        <f>Materiais[[#This Row],[Custo Total
Com IPI (R$)]]/(1-Materiais[[#This Row],[Margem
(%)]])</f>
        <v>0</v>
      </c>
      <c r="N201" s="16">
        <f>Materiais[[#This Row],[Valor Venda c/ Potencial Desconto  em Material (R$)]]-Materiais[[#This Row],[Custo Total
Com IPI (R$)]]</f>
        <v>0</v>
      </c>
      <c r="O201" s="93">
        <f>Materiais[[#This Row],[Valor Total
Com Margem
Sem Tributos   (R$)]]/(1-('Valores Finais'!$C$10))</f>
        <v>0</v>
      </c>
      <c r="P201" s="93">
        <f>Materiais[[#This Row],[Valor Venda c/ Potencial Desconto  em Material (R$)]]/(1-('Valores Finais'!$B$6))</f>
        <v>0</v>
      </c>
      <c r="Q201" s="84">
        <f>'Valores Finais'!$B$10</f>
        <v>0.12</v>
      </c>
      <c r="R201" s="76">
        <f>Materiais[[#This Row],[Valor Venda c/ Comissões (R$)]]/(1-Materiais[[#This Row],[Tributos
(%)]])-Materiais[[#This Row],[Valor Venda c/ Comissões (R$)]]</f>
        <v>0</v>
      </c>
      <c r="S201" s="76">
        <f>Materiais[[#This Row],[Valor Venda c/ Comissões (R$)]]+Materiais[[#This Row],[Tributos
(R$)]]</f>
        <v>0</v>
      </c>
      <c r="T201" s="185"/>
      <c r="U201" s="186">
        <f ca="1">IF(Materiais[[#This Row],[Data Update]] = "",0,IF(_xlfn.DAYS(NOW(),Materiais[[#This Row],[Data Update]])&lt;=0,0,_xlfn.DAYS(NOW(),Materiais[[#This Row],[Data Update]])))</f>
        <v>0</v>
      </c>
    </row>
    <row r="202" spans="1:21" x14ac:dyDescent="0.2">
      <c r="A202" s="46"/>
      <c r="B202" s="46"/>
      <c r="C202" s="46"/>
      <c r="D202" s="46"/>
      <c r="E202" s="46"/>
      <c r="F202" s="138"/>
      <c r="G202" s="129"/>
      <c r="H202" s="180"/>
      <c r="I202" s="5">
        <f>(Materiais[[#This Row],[Qtde.]]*Materiais[[#This Row],[Custo Unitário
Sem Tributos (R$)]])</f>
        <v>0</v>
      </c>
      <c r="J202" s="92">
        <v>0</v>
      </c>
      <c r="K202" s="140">
        <f>Materiais[[#This Row],[Custo Total
Sem Tributos (R$)]]*Materiais[[#This Row],[IPI
(%)]]+Materiais[[#This Row],[Custo Total
Sem Tributos (R$)]]</f>
        <v>0</v>
      </c>
      <c r="L202" s="92">
        <v>0.1</v>
      </c>
      <c r="M202" s="76">
        <f>Materiais[[#This Row],[Custo Total
Com IPI (R$)]]/(1-Materiais[[#This Row],[Margem
(%)]])</f>
        <v>0</v>
      </c>
      <c r="N202" s="16">
        <f>Materiais[[#This Row],[Valor Venda c/ Potencial Desconto  em Material (R$)]]-Materiais[[#This Row],[Custo Total
Com IPI (R$)]]</f>
        <v>0</v>
      </c>
      <c r="O202" s="93">
        <f>Materiais[[#This Row],[Valor Total
Com Margem
Sem Tributos   (R$)]]/(1-('Valores Finais'!$C$10))</f>
        <v>0</v>
      </c>
      <c r="P202" s="93">
        <f>Materiais[[#This Row],[Valor Venda c/ Potencial Desconto  em Material (R$)]]/(1-('Valores Finais'!$B$6))</f>
        <v>0</v>
      </c>
      <c r="Q202" s="84">
        <f>'Valores Finais'!$B$10</f>
        <v>0.12</v>
      </c>
      <c r="R202" s="76">
        <f>Materiais[[#This Row],[Valor Venda c/ Comissões (R$)]]/(1-Materiais[[#This Row],[Tributos
(%)]])-Materiais[[#This Row],[Valor Venda c/ Comissões (R$)]]</f>
        <v>0</v>
      </c>
      <c r="S202" s="76">
        <f>Materiais[[#This Row],[Valor Venda c/ Comissões (R$)]]+Materiais[[#This Row],[Tributos
(R$)]]</f>
        <v>0</v>
      </c>
      <c r="T202" s="185"/>
      <c r="U202" s="186">
        <f ca="1">IF(Materiais[[#This Row],[Data Update]] = "",0,IF(_xlfn.DAYS(NOW(),Materiais[[#This Row],[Data Update]])&lt;=0,0,_xlfn.DAYS(NOW(),Materiais[[#This Row],[Data Update]])))</f>
        <v>0</v>
      </c>
    </row>
    <row r="203" spans="1:21" x14ac:dyDescent="0.2">
      <c r="A203" s="46"/>
      <c r="B203" s="46"/>
      <c r="C203" s="46"/>
      <c r="D203" s="46"/>
      <c r="E203" s="46"/>
      <c r="F203" s="138"/>
      <c r="G203" s="129"/>
      <c r="H203" s="180"/>
      <c r="I203" s="5">
        <f>(Materiais[[#This Row],[Qtde.]]*Materiais[[#This Row],[Custo Unitário
Sem Tributos (R$)]])</f>
        <v>0</v>
      </c>
      <c r="J203" s="92">
        <v>0</v>
      </c>
      <c r="K203" s="140">
        <f>Materiais[[#This Row],[Custo Total
Sem Tributos (R$)]]*Materiais[[#This Row],[IPI
(%)]]+Materiais[[#This Row],[Custo Total
Sem Tributos (R$)]]</f>
        <v>0</v>
      </c>
      <c r="L203" s="92">
        <v>0.1</v>
      </c>
      <c r="M203" s="76">
        <f>Materiais[[#This Row],[Custo Total
Com IPI (R$)]]/(1-Materiais[[#This Row],[Margem
(%)]])</f>
        <v>0</v>
      </c>
      <c r="N203" s="16">
        <f>Materiais[[#This Row],[Valor Venda c/ Potencial Desconto  em Material (R$)]]-Materiais[[#This Row],[Custo Total
Com IPI (R$)]]</f>
        <v>0</v>
      </c>
      <c r="O203" s="93">
        <f>Materiais[[#This Row],[Valor Total
Com Margem
Sem Tributos   (R$)]]/(1-('Valores Finais'!$C$10))</f>
        <v>0</v>
      </c>
      <c r="P203" s="93">
        <f>Materiais[[#This Row],[Valor Venda c/ Potencial Desconto  em Material (R$)]]/(1-('Valores Finais'!$B$6))</f>
        <v>0</v>
      </c>
      <c r="Q203" s="84">
        <f>'Valores Finais'!$B$10</f>
        <v>0.12</v>
      </c>
      <c r="R203" s="76">
        <f>Materiais[[#This Row],[Valor Venda c/ Comissões (R$)]]/(1-Materiais[[#This Row],[Tributos
(%)]])-Materiais[[#This Row],[Valor Venda c/ Comissões (R$)]]</f>
        <v>0</v>
      </c>
      <c r="S203" s="76">
        <f>Materiais[[#This Row],[Valor Venda c/ Comissões (R$)]]+Materiais[[#This Row],[Tributos
(R$)]]</f>
        <v>0</v>
      </c>
      <c r="T203" s="185"/>
      <c r="U203" s="186">
        <f ca="1">IF(Materiais[[#This Row],[Data Update]] = "",0,IF(_xlfn.DAYS(NOW(),Materiais[[#This Row],[Data Update]])&lt;=0,0,_xlfn.DAYS(NOW(),Materiais[[#This Row],[Data Update]])))</f>
        <v>0</v>
      </c>
    </row>
    <row r="204" spans="1:21" x14ac:dyDescent="0.2">
      <c r="A204" s="46"/>
      <c r="B204" s="46"/>
      <c r="C204" s="46"/>
      <c r="D204" s="46"/>
      <c r="E204" s="46"/>
      <c r="F204" s="138"/>
      <c r="G204" s="129"/>
      <c r="H204" s="180"/>
      <c r="I204" s="5">
        <f>(Materiais[[#This Row],[Qtde.]]*Materiais[[#This Row],[Custo Unitário
Sem Tributos (R$)]])</f>
        <v>0</v>
      </c>
      <c r="J204" s="92">
        <v>0</v>
      </c>
      <c r="K204" s="140">
        <f>Materiais[[#This Row],[Custo Total
Sem Tributos (R$)]]*Materiais[[#This Row],[IPI
(%)]]+Materiais[[#This Row],[Custo Total
Sem Tributos (R$)]]</f>
        <v>0</v>
      </c>
      <c r="L204" s="92">
        <v>0.1</v>
      </c>
      <c r="M204" s="76">
        <f>Materiais[[#This Row],[Custo Total
Com IPI (R$)]]/(1-Materiais[[#This Row],[Margem
(%)]])</f>
        <v>0</v>
      </c>
      <c r="N204" s="16">
        <f>Materiais[[#This Row],[Valor Venda c/ Potencial Desconto  em Material (R$)]]-Materiais[[#This Row],[Custo Total
Com IPI (R$)]]</f>
        <v>0</v>
      </c>
      <c r="O204" s="93">
        <f>Materiais[[#This Row],[Valor Total
Com Margem
Sem Tributos   (R$)]]/(1-('Valores Finais'!$C$10))</f>
        <v>0</v>
      </c>
      <c r="P204" s="93">
        <f>Materiais[[#This Row],[Valor Venda c/ Potencial Desconto  em Material (R$)]]/(1-('Valores Finais'!$B$6))</f>
        <v>0</v>
      </c>
      <c r="Q204" s="84">
        <f>'Valores Finais'!$B$10</f>
        <v>0.12</v>
      </c>
      <c r="R204" s="76">
        <f>Materiais[[#This Row],[Valor Venda c/ Comissões (R$)]]/(1-Materiais[[#This Row],[Tributos
(%)]])-Materiais[[#This Row],[Valor Venda c/ Comissões (R$)]]</f>
        <v>0</v>
      </c>
      <c r="S204" s="76">
        <f>Materiais[[#This Row],[Valor Venda c/ Comissões (R$)]]+Materiais[[#This Row],[Tributos
(R$)]]</f>
        <v>0</v>
      </c>
      <c r="T204" s="185"/>
      <c r="U204" s="186">
        <f ca="1">IF(Materiais[[#This Row],[Data Update]] = "",0,IF(_xlfn.DAYS(NOW(),Materiais[[#This Row],[Data Update]])&lt;=0,0,_xlfn.DAYS(NOW(),Materiais[[#This Row],[Data Update]])))</f>
        <v>0</v>
      </c>
    </row>
    <row r="205" spans="1:21" x14ac:dyDescent="0.2">
      <c r="A205" s="46"/>
      <c r="B205" s="46"/>
      <c r="C205" s="46"/>
      <c r="D205" s="46"/>
      <c r="E205" s="46"/>
      <c r="F205" s="138"/>
      <c r="G205" s="129"/>
      <c r="H205" s="180"/>
      <c r="I205" s="5">
        <f>(Materiais[[#This Row],[Qtde.]]*Materiais[[#This Row],[Custo Unitário
Sem Tributos (R$)]])</f>
        <v>0</v>
      </c>
      <c r="J205" s="92">
        <v>0</v>
      </c>
      <c r="K205" s="140">
        <f>Materiais[[#This Row],[Custo Total
Sem Tributos (R$)]]*Materiais[[#This Row],[IPI
(%)]]+Materiais[[#This Row],[Custo Total
Sem Tributos (R$)]]</f>
        <v>0</v>
      </c>
      <c r="L205" s="92">
        <v>0.1</v>
      </c>
      <c r="M205" s="76">
        <f>Materiais[[#This Row],[Custo Total
Com IPI (R$)]]/(1-Materiais[[#This Row],[Margem
(%)]])</f>
        <v>0</v>
      </c>
      <c r="N205" s="16">
        <f>Materiais[[#This Row],[Valor Venda c/ Potencial Desconto  em Material (R$)]]-Materiais[[#This Row],[Custo Total
Com IPI (R$)]]</f>
        <v>0</v>
      </c>
      <c r="O205" s="93">
        <f>Materiais[[#This Row],[Valor Total
Com Margem
Sem Tributos   (R$)]]/(1-('Valores Finais'!$C$10))</f>
        <v>0</v>
      </c>
      <c r="P205" s="93">
        <f>Materiais[[#This Row],[Valor Venda c/ Potencial Desconto  em Material (R$)]]/(1-('Valores Finais'!$B$6))</f>
        <v>0</v>
      </c>
      <c r="Q205" s="84">
        <f>'Valores Finais'!$B$10</f>
        <v>0.12</v>
      </c>
      <c r="R205" s="76">
        <f>Materiais[[#This Row],[Valor Venda c/ Comissões (R$)]]/(1-Materiais[[#This Row],[Tributos
(%)]])-Materiais[[#This Row],[Valor Venda c/ Comissões (R$)]]</f>
        <v>0</v>
      </c>
      <c r="S205" s="76">
        <f>Materiais[[#This Row],[Valor Venda c/ Comissões (R$)]]+Materiais[[#This Row],[Tributos
(R$)]]</f>
        <v>0</v>
      </c>
      <c r="T205" s="185"/>
      <c r="U205" s="186">
        <f ca="1">IF(Materiais[[#This Row],[Data Update]] = "",0,IF(_xlfn.DAYS(NOW(),Materiais[[#This Row],[Data Update]])&lt;=0,0,_xlfn.DAYS(NOW(),Materiais[[#This Row],[Data Update]])))</f>
        <v>0</v>
      </c>
    </row>
    <row r="206" spans="1:21" x14ac:dyDescent="0.2">
      <c r="A206" s="46"/>
      <c r="B206" s="46"/>
      <c r="C206" s="46"/>
      <c r="D206" s="46"/>
      <c r="E206" s="46"/>
      <c r="F206" s="138"/>
      <c r="G206" s="129"/>
      <c r="H206" s="180"/>
      <c r="I206" s="5">
        <f>(Materiais[[#This Row],[Qtde.]]*Materiais[[#This Row],[Custo Unitário
Sem Tributos (R$)]])</f>
        <v>0</v>
      </c>
      <c r="J206" s="92">
        <v>0</v>
      </c>
      <c r="K206" s="140">
        <f>Materiais[[#This Row],[Custo Total
Sem Tributos (R$)]]*Materiais[[#This Row],[IPI
(%)]]+Materiais[[#This Row],[Custo Total
Sem Tributos (R$)]]</f>
        <v>0</v>
      </c>
      <c r="L206" s="92">
        <v>0.1</v>
      </c>
      <c r="M206" s="76">
        <f>Materiais[[#This Row],[Custo Total
Com IPI (R$)]]/(1-Materiais[[#This Row],[Margem
(%)]])</f>
        <v>0</v>
      </c>
      <c r="N206" s="16">
        <f>Materiais[[#This Row],[Valor Venda c/ Potencial Desconto  em Material (R$)]]-Materiais[[#This Row],[Custo Total
Com IPI (R$)]]</f>
        <v>0</v>
      </c>
      <c r="O206" s="93">
        <f>Materiais[[#This Row],[Valor Total
Com Margem
Sem Tributos   (R$)]]/(1-('Valores Finais'!$C$10))</f>
        <v>0</v>
      </c>
      <c r="P206" s="93">
        <f>Materiais[[#This Row],[Valor Venda c/ Potencial Desconto  em Material (R$)]]/(1-('Valores Finais'!$B$6))</f>
        <v>0</v>
      </c>
      <c r="Q206" s="84">
        <f>'Valores Finais'!$B$10</f>
        <v>0.12</v>
      </c>
      <c r="R206" s="76">
        <f>Materiais[[#This Row],[Valor Venda c/ Comissões (R$)]]/(1-Materiais[[#This Row],[Tributos
(%)]])-Materiais[[#This Row],[Valor Venda c/ Comissões (R$)]]</f>
        <v>0</v>
      </c>
      <c r="S206" s="76">
        <f>Materiais[[#This Row],[Valor Venda c/ Comissões (R$)]]+Materiais[[#This Row],[Tributos
(R$)]]</f>
        <v>0</v>
      </c>
      <c r="T206" s="185"/>
      <c r="U206" s="186">
        <f ca="1">IF(Materiais[[#This Row],[Data Update]] = "",0,IF(_xlfn.DAYS(NOW(),Materiais[[#This Row],[Data Update]])&lt;=0,0,_xlfn.DAYS(NOW(),Materiais[[#This Row],[Data Update]])))</f>
        <v>0</v>
      </c>
    </row>
    <row r="207" spans="1:21" x14ac:dyDescent="0.2">
      <c r="A207" s="46"/>
      <c r="B207" s="46"/>
      <c r="C207" s="46"/>
      <c r="D207" s="46"/>
      <c r="E207" s="46"/>
      <c r="F207" s="138"/>
      <c r="G207" s="129"/>
      <c r="H207" s="180"/>
      <c r="I207" s="5">
        <f>(Materiais[[#This Row],[Qtde.]]*Materiais[[#This Row],[Custo Unitário
Sem Tributos (R$)]])</f>
        <v>0</v>
      </c>
      <c r="J207" s="92">
        <v>0</v>
      </c>
      <c r="K207" s="140">
        <f>Materiais[[#This Row],[Custo Total
Sem Tributos (R$)]]*Materiais[[#This Row],[IPI
(%)]]+Materiais[[#This Row],[Custo Total
Sem Tributos (R$)]]</f>
        <v>0</v>
      </c>
      <c r="L207" s="92">
        <v>0.1</v>
      </c>
      <c r="M207" s="76">
        <f>Materiais[[#This Row],[Custo Total
Com IPI (R$)]]/(1-Materiais[[#This Row],[Margem
(%)]])</f>
        <v>0</v>
      </c>
      <c r="N207" s="16">
        <f>Materiais[[#This Row],[Valor Venda c/ Potencial Desconto  em Material (R$)]]-Materiais[[#This Row],[Custo Total
Com IPI (R$)]]</f>
        <v>0</v>
      </c>
      <c r="O207" s="93">
        <f>Materiais[[#This Row],[Valor Total
Com Margem
Sem Tributos   (R$)]]/(1-('Valores Finais'!$C$10))</f>
        <v>0</v>
      </c>
      <c r="P207" s="93">
        <f>Materiais[[#This Row],[Valor Venda c/ Potencial Desconto  em Material (R$)]]/(1-('Valores Finais'!$B$6))</f>
        <v>0</v>
      </c>
      <c r="Q207" s="84">
        <f>'Valores Finais'!$B$10</f>
        <v>0.12</v>
      </c>
      <c r="R207" s="76">
        <f>Materiais[[#This Row],[Valor Venda c/ Comissões (R$)]]/(1-Materiais[[#This Row],[Tributos
(%)]])-Materiais[[#This Row],[Valor Venda c/ Comissões (R$)]]</f>
        <v>0</v>
      </c>
      <c r="S207" s="76">
        <f>Materiais[[#This Row],[Valor Venda c/ Comissões (R$)]]+Materiais[[#This Row],[Tributos
(R$)]]</f>
        <v>0</v>
      </c>
      <c r="T207" s="185"/>
      <c r="U207" s="186">
        <f ca="1">IF(Materiais[[#This Row],[Data Update]] = "",0,IF(_xlfn.DAYS(NOW(),Materiais[[#This Row],[Data Update]])&lt;=0,0,_xlfn.DAYS(NOW(),Materiais[[#This Row],[Data Update]])))</f>
        <v>0</v>
      </c>
    </row>
    <row r="208" spans="1:21" x14ac:dyDescent="0.2">
      <c r="A208" s="46"/>
      <c r="B208" s="46"/>
      <c r="C208" s="46"/>
      <c r="D208" s="46"/>
      <c r="E208" s="46"/>
      <c r="F208" s="138"/>
      <c r="G208" s="129"/>
      <c r="H208" s="180"/>
      <c r="I208" s="5">
        <f>(Materiais[[#This Row],[Qtde.]]*Materiais[[#This Row],[Custo Unitário
Sem Tributos (R$)]])</f>
        <v>0</v>
      </c>
      <c r="J208" s="92">
        <v>0</v>
      </c>
      <c r="K208" s="140">
        <f>Materiais[[#This Row],[Custo Total
Sem Tributos (R$)]]*Materiais[[#This Row],[IPI
(%)]]+Materiais[[#This Row],[Custo Total
Sem Tributos (R$)]]</f>
        <v>0</v>
      </c>
      <c r="L208" s="92">
        <v>0.1</v>
      </c>
      <c r="M208" s="76">
        <f>Materiais[[#This Row],[Custo Total
Com IPI (R$)]]/(1-Materiais[[#This Row],[Margem
(%)]])</f>
        <v>0</v>
      </c>
      <c r="N208" s="16">
        <f>Materiais[[#This Row],[Valor Venda c/ Potencial Desconto  em Material (R$)]]-Materiais[[#This Row],[Custo Total
Com IPI (R$)]]</f>
        <v>0</v>
      </c>
      <c r="O208" s="93">
        <f>Materiais[[#This Row],[Valor Total
Com Margem
Sem Tributos   (R$)]]/(1-('Valores Finais'!$C$10))</f>
        <v>0</v>
      </c>
      <c r="P208" s="93">
        <f>Materiais[[#This Row],[Valor Venda c/ Potencial Desconto  em Material (R$)]]/(1-('Valores Finais'!$B$6))</f>
        <v>0</v>
      </c>
      <c r="Q208" s="84">
        <f>'Valores Finais'!$B$10</f>
        <v>0.12</v>
      </c>
      <c r="R208" s="76">
        <f>Materiais[[#This Row],[Valor Venda c/ Comissões (R$)]]/(1-Materiais[[#This Row],[Tributos
(%)]])-Materiais[[#This Row],[Valor Venda c/ Comissões (R$)]]</f>
        <v>0</v>
      </c>
      <c r="S208" s="76">
        <f>Materiais[[#This Row],[Valor Venda c/ Comissões (R$)]]+Materiais[[#This Row],[Tributos
(R$)]]</f>
        <v>0</v>
      </c>
      <c r="T208" s="185"/>
      <c r="U208" s="186">
        <f ca="1">IF(Materiais[[#This Row],[Data Update]] = "",0,IF(_xlfn.DAYS(NOW(),Materiais[[#This Row],[Data Update]])&lt;=0,0,_xlfn.DAYS(NOW(),Materiais[[#This Row],[Data Update]])))</f>
        <v>0</v>
      </c>
    </row>
    <row r="209" spans="1:21" x14ac:dyDescent="0.2">
      <c r="A209" s="46"/>
      <c r="B209" s="46"/>
      <c r="C209" s="46"/>
      <c r="D209" s="46"/>
      <c r="E209" s="46"/>
      <c r="F209" s="138"/>
      <c r="G209" s="129"/>
      <c r="H209" s="180"/>
      <c r="I209" s="5">
        <f>(Materiais[[#This Row],[Qtde.]]*Materiais[[#This Row],[Custo Unitário
Sem Tributos (R$)]])</f>
        <v>0</v>
      </c>
      <c r="J209" s="92">
        <v>0</v>
      </c>
      <c r="K209" s="140">
        <f>Materiais[[#This Row],[Custo Total
Sem Tributos (R$)]]*Materiais[[#This Row],[IPI
(%)]]+Materiais[[#This Row],[Custo Total
Sem Tributos (R$)]]</f>
        <v>0</v>
      </c>
      <c r="L209" s="92">
        <v>0.1</v>
      </c>
      <c r="M209" s="76">
        <f>Materiais[[#This Row],[Custo Total
Com IPI (R$)]]/(1-Materiais[[#This Row],[Margem
(%)]])</f>
        <v>0</v>
      </c>
      <c r="N209" s="16">
        <f>Materiais[[#This Row],[Valor Venda c/ Potencial Desconto  em Material (R$)]]-Materiais[[#This Row],[Custo Total
Com IPI (R$)]]</f>
        <v>0</v>
      </c>
      <c r="O209" s="93">
        <f>Materiais[[#This Row],[Valor Total
Com Margem
Sem Tributos   (R$)]]/(1-('Valores Finais'!$C$10))</f>
        <v>0</v>
      </c>
      <c r="P209" s="93">
        <f>Materiais[[#This Row],[Valor Venda c/ Potencial Desconto  em Material (R$)]]/(1-('Valores Finais'!$B$6))</f>
        <v>0</v>
      </c>
      <c r="Q209" s="84">
        <f>'Valores Finais'!$B$10</f>
        <v>0.12</v>
      </c>
      <c r="R209" s="76">
        <f>Materiais[[#This Row],[Valor Venda c/ Comissões (R$)]]/(1-Materiais[[#This Row],[Tributos
(%)]])-Materiais[[#This Row],[Valor Venda c/ Comissões (R$)]]</f>
        <v>0</v>
      </c>
      <c r="S209" s="76">
        <f>Materiais[[#This Row],[Valor Venda c/ Comissões (R$)]]+Materiais[[#This Row],[Tributos
(R$)]]</f>
        <v>0</v>
      </c>
      <c r="T209" s="185"/>
      <c r="U209" s="186">
        <f ca="1">IF(Materiais[[#This Row],[Data Update]] = "",0,IF(_xlfn.DAYS(NOW(),Materiais[[#This Row],[Data Update]])&lt;=0,0,_xlfn.DAYS(NOW(),Materiais[[#This Row],[Data Update]])))</f>
        <v>0</v>
      </c>
    </row>
    <row r="210" spans="1:21" x14ac:dyDescent="0.2">
      <c r="A210" s="46"/>
      <c r="B210" s="46"/>
      <c r="C210" s="46"/>
      <c r="D210" s="46"/>
      <c r="E210" s="46"/>
      <c r="F210" s="138"/>
      <c r="G210" s="129"/>
      <c r="H210" s="180"/>
      <c r="I210" s="5">
        <f>(Materiais[[#This Row],[Qtde.]]*Materiais[[#This Row],[Custo Unitário
Sem Tributos (R$)]])</f>
        <v>0</v>
      </c>
      <c r="J210" s="92">
        <v>0</v>
      </c>
      <c r="K210" s="140">
        <f>Materiais[[#This Row],[Custo Total
Sem Tributos (R$)]]*Materiais[[#This Row],[IPI
(%)]]+Materiais[[#This Row],[Custo Total
Sem Tributos (R$)]]</f>
        <v>0</v>
      </c>
      <c r="L210" s="92">
        <v>0.1</v>
      </c>
      <c r="M210" s="76">
        <f>Materiais[[#This Row],[Custo Total
Com IPI (R$)]]/(1-Materiais[[#This Row],[Margem
(%)]])</f>
        <v>0</v>
      </c>
      <c r="N210" s="16">
        <f>Materiais[[#This Row],[Valor Venda c/ Potencial Desconto  em Material (R$)]]-Materiais[[#This Row],[Custo Total
Com IPI (R$)]]</f>
        <v>0</v>
      </c>
      <c r="O210" s="93">
        <f>Materiais[[#This Row],[Valor Total
Com Margem
Sem Tributos   (R$)]]/(1-('Valores Finais'!$C$10))</f>
        <v>0</v>
      </c>
      <c r="P210" s="93">
        <f>Materiais[[#This Row],[Valor Venda c/ Potencial Desconto  em Material (R$)]]/(1-('Valores Finais'!$B$6))</f>
        <v>0</v>
      </c>
      <c r="Q210" s="84">
        <f>'Valores Finais'!$B$10</f>
        <v>0.12</v>
      </c>
      <c r="R210" s="76">
        <f>Materiais[[#This Row],[Valor Venda c/ Comissões (R$)]]/(1-Materiais[[#This Row],[Tributos
(%)]])-Materiais[[#This Row],[Valor Venda c/ Comissões (R$)]]</f>
        <v>0</v>
      </c>
      <c r="S210" s="76">
        <f>Materiais[[#This Row],[Valor Venda c/ Comissões (R$)]]+Materiais[[#This Row],[Tributos
(R$)]]</f>
        <v>0</v>
      </c>
      <c r="T210" s="185"/>
      <c r="U210" s="186">
        <f ca="1">IF(Materiais[[#This Row],[Data Update]] = "",0,IF(_xlfn.DAYS(NOW(),Materiais[[#This Row],[Data Update]])&lt;=0,0,_xlfn.DAYS(NOW(),Materiais[[#This Row],[Data Update]])))</f>
        <v>0</v>
      </c>
    </row>
    <row r="211" spans="1:21" x14ac:dyDescent="0.2">
      <c r="A211" s="46"/>
      <c r="B211" s="46"/>
      <c r="C211" s="46"/>
      <c r="D211" s="46"/>
      <c r="E211" s="46"/>
      <c r="F211" s="138"/>
      <c r="G211" s="129"/>
      <c r="H211" s="180"/>
      <c r="I211" s="5">
        <f>(Materiais[[#This Row],[Qtde.]]*Materiais[[#This Row],[Custo Unitário
Sem Tributos (R$)]])</f>
        <v>0</v>
      </c>
      <c r="J211" s="92">
        <v>0</v>
      </c>
      <c r="K211" s="140">
        <f>Materiais[[#This Row],[Custo Total
Sem Tributos (R$)]]*Materiais[[#This Row],[IPI
(%)]]+Materiais[[#This Row],[Custo Total
Sem Tributos (R$)]]</f>
        <v>0</v>
      </c>
      <c r="L211" s="92">
        <v>0.1</v>
      </c>
      <c r="M211" s="76">
        <f>Materiais[[#This Row],[Custo Total
Com IPI (R$)]]/(1-Materiais[[#This Row],[Margem
(%)]])</f>
        <v>0</v>
      </c>
      <c r="N211" s="16">
        <f>Materiais[[#This Row],[Valor Venda c/ Potencial Desconto  em Material (R$)]]-Materiais[[#This Row],[Custo Total
Com IPI (R$)]]</f>
        <v>0</v>
      </c>
      <c r="O211" s="93">
        <f>Materiais[[#This Row],[Valor Total
Com Margem
Sem Tributos   (R$)]]/(1-('Valores Finais'!$C$10))</f>
        <v>0</v>
      </c>
      <c r="P211" s="93">
        <f>Materiais[[#This Row],[Valor Venda c/ Potencial Desconto  em Material (R$)]]/(1-('Valores Finais'!$B$6))</f>
        <v>0</v>
      </c>
      <c r="Q211" s="84">
        <f>'Valores Finais'!$B$10</f>
        <v>0.12</v>
      </c>
      <c r="R211" s="76">
        <f>Materiais[[#This Row],[Valor Venda c/ Comissões (R$)]]/(1-Materiais[[#This Row],[Tributos
(%)]])-Materiais[[#This Row],[Valor Venda c/ Comissões (R$)]]</f>
        <v>0</v>
      </c>
      <c r="S211" s="76">
        <f>Materiais[[#This Row],[Valor Venda c/ Comissões (R$)]]+Materiais[[#This Row],[Tributos
(R$)]]</f>
        <v>0</v>
      </c>
      <c r="T211" s="185"/>
      <c r="U211" s="186">
        <f ca="1">IF(Materiais[[#This Row],[Data Update]] = "",0,IF(_xlfn.DAYS(NOW(),Materiais[[#This Row],[Data Update]])&lt;=0,0,_xlfn.DAYS(NOW(),Materiais[[#This Row],[Data Update]])))</f>
        <v>0</v>
      </c>
    </row>
    <row r="212" spans="1:21" x14ac:dyDescent="0.2">
      <c r="A212" s="46"/>
      <c r="B212" s="46"/>
      <c r="C212" s="46"/>
      <c r="D212" s="46"/>
      <c r="E212" s="46"/>
      <c r="F212" s="138"/>
      <c r="G212" s="129"/>
      <c r="H212" s="180"/>
      <c r="I212" s="5">
        <f>(Materiais[[#This Row],[Qtde.]]*Materiais[[#This Row],[Custo Unitário
Sem Tributos (R$)]])</f>
        <v>0</v>
      </c>
      <c r="J212" s="92">
        <v>0</v>
      </c>
      <c r="K212" s="140">
        <f>Materiais[[#This Row],[Custo Total
Sem Tributos (R$)]]*Materiais[[#This Row],[IPI
(%)]]+Materiais[[#This Row],[Custo Total
Sem Tributos (R$)]]</f>
        <v>0</v>
      </c>
      <c r="L212" s="92">
        <v>0.1</v>
      </c>
      <c r="M212" s="76">
        <f>Materiais[[#This Row],[Custo Total
Com IPI (R$)]]/(1-Materiais[[#This Row],[Margem
(%)]])</f>
        <v>0</v>
      </c>
      <c r="N212" s="16">
        <f>Materiais[[#This Row],[Valor Venda c/ Potencial Desconto  em Material (R$)]]-Materiais[[#This Row],[Custo Total
Com IPI (R$)]]</f>
        <v>0</v>
      </c>
      <c r="O212" s="93">
        <f>Materiais[[#This Row],[Valor Total
Com Margem
Sem Tributos   (R$)]]/(1-('Valores Finais'!$C$10))</f>
        <v>0</v>
      </c>
      <c r="P212" s="93">
        <f>Materiais[[#This Row],[Valor Venda c/ Potencial Desconto  em Material (R$)]]/(1-('Valores Finais'!$B$6))</f>
        <v>0</v>
      </c>
      <c r="Q212" s="84">
        <f>'Valores Finais'!$B$10</f>
        <v>0.12</v>
      </c>
      <c r="R212" s="76">
        <f>Materiais[[#This Row],[Valor Venda c/ Comissões (R$)]]/(1-Materiais[[#This Row],[Tributos
(%)]])-Materiais[[#This Row],[Valor Venda c/ Comissões (R$)]]</f>
        <v>0</v>
      </c>
      <c r="S212" s="76">
        <f>Materiais[[#This Row],[Valor Venda c/ Comissões (R$)]]+Materiais[[#This Row],[Tributos
(R$)]]</f>
        <v>0</v>
      </c>
      <c r="T212" s="185"/>
      <c r="U212" s="186">
        <f ca="1">IF(Materiais[[#This Row],[Data Update]] = "",0,IF(_xlfn.DAYS(NOW(),Materiais[[#This Row],[Data Update]])&lt;=0,0,_xlfn.DAYS(NOW(),Materiais[[#This Row],[Data Update]])))</f>
        <v>0</v>
      </c>
    </row>
    <row r="213" spans="1:21" x14ac:dyDescent="0.2">
      <c r="A213" s="46"/>
      <c r="B213" s="46"/>
      <c r="C213" s="46"/>
      <c r="D213" s="46"/>
      <c r="E213" s="46"/>
      <c r="F213" s="138"/>
      <c r="G213" s="129"/>
      <c r="H213" s="180"/>
      <c r="I213" s="5">
        <f>(Materiais[[#This Row],[Qtde.]]*Materiais[[#This Row],[Custo Unitário
Sem Tributos (R$)]])</f>
        <v>0</v>
      </c>
      <c r="J213" s="92">
        <v>0</v>
      </c>
      <c r="K213" s="140">
        <f>Materiais[[#This Row],[Custo Total
Sem Tributos (R$)]]*Materiais[[#This Row],[IPI
(%)]]+Materiais[[#This Row],[Custo Total
Sem Tributos (R$)]]</f>
        <v>0</v>
      </c>
      <c r="L213" s="92">
        <v>0.1</v>
      </c>
      <c r="M213" s="76">
        <f>Materiais[[#This Row],[Custo Total
Com IPI (R$)]]/(1-Materiais[[#This Row],[Margem
(%)]])</f>
        <v>0</v>
      </c>
      <c r="N213" s="16">
        <f>Materiais[[#This Row],[Valor Venda c/ Potencial Desconto  em Material (R$)]]-Materiais[[#This Row],[Custo Total
Com IPI (R$)]]</f>
        <v>0</v>
      </c>
      <c r="O213" s="93">
        <f>Materiais[[#This Row],[Valor Total
Com Margem
Sem Tributos   (R$)]]/(1-('Valores Finais'!$C$10))</f>
        <v>0</v>
      </c>
      <c r="P213" s="93">
        <f>Materiais[[#This Row],[Valor Venda c/ Potencial Desconto  em Material (R$)]]/(1-('Valores Finais'!$B$6))</f>
        <v>0</v>
      </c>
      <c r="Q213" s="84">
        <f>'Valores Finais'!$B$10</f>
        <v>0.12</v>
      </c>
      <c r="R213" s="76">
        <f>Materiais[[#This Row],[Valor Venda c/ Comissões (R$)]]/(1-Materiais[[#This Row],[Tributos
(%)]])-Materiais[[#This Row],[Valor Venda c/ Comissões (R$)]]</f>
        <v>0</v>
      </c>
      <c r="S213" s="76">
        <f>Materiais[[#This Row],[Valor Venda c/ Comissões (R$)]]+Materiais[[#This Row],[Tributos
(R$)]]</f>
        <v>0</v>
      </c>
      <c r="T213" s="185"/>
      <c r="U213" s="186">
        <f ca="1">IF(Materiais[[#This Row],[Data Update]] = "",0,IF(_xlfn.DAYS(NOW(),Materiais[[#This Row],[Data Update]])&lt;=0,0,_xlfn.DAYS(NOW(),Materiais[[#This Row],[Data Update]])))</f>
        <v>0</v>
      </c>
    </row>
    <row r="214" spans="1:21" x14ac:dyDescent="0.2">
      <c r="A214" s="46"/>
      <c r="B214" s="46"/>
      <c r="C214" s="46"/>
      <c r="D214" s="46"/>
      <c r="E214" s="46"/>
      <c r="F214" s="138"/>
      <c r="G214" s="129"/>
      <c r="H214" s="180"/>
      <c r="I214" s="5">
        <f>(Materiais[[#This Row],[Qtde.]]*Materiais[[#This Row],[Custo Unitário
Sem Tributos (R$)]])</f>
        <v>0</v>
      </c>
      <c r="J214" s="92">
        <v>0</v>
      </c>
      <c r="K214" s="140">
        <f>Materiais[[#This Row],[Custo Total
Sem Tributos (R$)]]*Materiais[[#This Row],[IPI
(%)]]+Materiais[[#This Row],[Custo Total
Sem Tributos (R$)]]</f>
        <v>0</v>
      </c>
      <c r="L214" s="92">
        <v>0.1</v>
      </c>
      <c r="M214" s="76">
        <f>Materiais[[#This Row],[Custo Total
Com IPI (R$)]]/(1-Materiais[[#This Row],[Margem
(%)]])</f>
        <v>0</v>
      </c>
      <c r="N214" s="16">
        <f>Materiais[[#This Row],[Valor Venda c/ Potencial Desconto  em Material (R$)]]-Materiais[[#This Row],[Custo Total
Com IPI (R$)]]</f>
        <v>0</v>
      </c>
      <c r="O214" s="93">
        <f>Materiais[[#This Row],[Valor Total
Com Margem
Sem Tributos   (R$)]]/(1-('Valores Finais'!$C$10))</f>
        <v>0</v>
      </c>
      <c r="P214" s="93">
        <f>Materiais[[#This Row],[Valor Venda c/ Potencial Desconto  em Material (R$)]]/(1-('Valores Finais'!$B$6))</f>
        <v>0</v>
      </c>
      <c r="Q214" s="84">
        <f>'Valores Finais'!$B$10</f>
        <v>0.12</v>
      </c>
      <c r="R214" s="76">
        <f>Materiais[[#This Row],[Valor Venda c/ Comissões (R$)]]/(1-Materiais[[#This Row],[Tributos
(%)]])-Materiais[[#This Row],[Valor Venda c/ Comissões (R$)]]</f>
        <v>0</v>
      </c>
      <c r="S214" s="76">
        <f>Materiais[[#This Row],[Valor Venda c/ Comissões (R$)]]+Materiais[[#This Row],[Tributos
(R$)]]</f>
        <v>0</v>
      </c>
      <c r="T214" s="185"/>
      <c r="U214" s="186">
        <f ca="1">IF(Materiais[[#This Row],[Data Update]] = "",0,IF(_xlfn.DAYS(NOW(),Materiais[[#This Row],[Data Update]])&lt;=0,0,_xlfn.DAYS(NOW(),Materiais[[#This Row],[Data Update]])))</f>
        <v>0</v>
      </c>
    </row>
    <row r="215" spans="1:21" x14ac:dyDescent="0.2">
      <c r="A215" s="46"/>
      <c r="B215" s="46"/>
      <c r="C215" s="46"/>
      <c r="D215" s="46"/>
      <c r="E215" s="46"/>
      <c r="F215" s="138"/>
      <c r="G215" s="129"/>
      <c r="H215" s="180"/>
      <c r="I215" s="5">
        <f>(Materiais[[#This Row],[Qtde.]]*Materiais[[#This Row],[Custo Unitário
Sem Tributos (R$)]])</f>
        <v>0</v>
      </c>
      <c r="J215" s="92">
        <v>0</v>
      </c>
      <c r="K215" s="140">
        <f>Materiais[[#This Row],[Custo Total
Sem Tributos (R$)]]*Materiais[[#This Row],[IPI
(%)]]+Materiais[[#This Row],[Custo Total
Sem Tributos (R$)]]</f>
        <v>0</v>
      </c>
      <c r="L215" s="92">
        <v>0.1</v>
      </c>
      <c r="M215" s="76">
        <f>Materiais[[#This Row],[Custo Total
Com IPI (R$)]]/(1-Materiais[[#This Row],[Margem
(%)]])</f>
        <v>0</v>
      </c>
      <c r="N215" s="16">
        <f>Materiais[[#This Row],[Valor Venda c/ Potencial Desconto  em Material (R$)]]-Materiais[[#This Row],[Custo Total
Com IPI (R$)]]</f>
        <v>0</v>
      </c>
      <c r="O215" s="93">
        <f>Materiais[[#This Row],[Valor Total
Com Margem
Sem Tributos   (R$)]]/(1-('Valores Finais'!$C$10))</f>
        <v>0</v>
      </c>
      <c r="P215" s="93">
        <f>Materiais[[#This Row],[Valor Venda c/ Potencial Desconto  em Material (R$)]]/(1-('Valores Finais'!$B$6))</f>
        <v>0</v>
      </c>
      <c r="Q215" s="84">
        <f>'Valores Finais'!$B$10</f>
        <v>0.12</v>
      </c>
      <c r="R215" s="76">
        <f>Materiais[[#This Row],[Valor Venda c/ Comissões (R$)]]/(1-Materiais[[#This Row],[Tributos
(%)]])-Materiais[[#This Row],[Valor Venda c/ Comissões (R$)]]</f>
        <v>0</v>
      </c>
      <c r="S215" s="76">
        <f>Materiais[[#This Row],[Valor Venda c/ Comissões (R$)]]+Materiais[[#This Row],[Tributos
(R$)]]</f>
        <v>0</v>
      </c>
      <c r="T215" s="185"/>
      <c r="U215" s="186">
        <f ca="1">IF(Materiais[[#This Row],[Data Update]] = "",0,IF(_xlfn.DAYS(NOW(),Materiais[[#This Row],[Data Update]])&lt;=0,0,_xlfn.DAYS(NOW(),Materiais[[#This Row],[Data Update]])))</f>
        <v>0</v>
      </c>
    </row>
    <row r="216" spans="1:21" x14ac:dyDescent="0.2">
      <c r="A216" s="46"/>
      <c r="B216" s="46"/>
      <c r="C216" s="46"/>
      <c r="D216" s="46"/>
      <c r="E216" s="46"/>
      <c r="F216" s="138"/>
      <c r="G216" s="129"/>
      <c r="H216" s="180"/>
      <c r="I216" s="5">
        <f>(Materiais[[#This Row],[Qtde.]]*Materiais[[#This Row],[Custo Unitário
Sem Tributos (R$)]])</f>
        <v>0</v>
      </c>
      <c r="J216" s="92">
        <v>0</v>
      </c>
      <c r="K216" s="140">
        <f>Materiais[[#This Row],[Custo Total
Sem Tributos (R$)]]*Materiais[[#This Row],[IPI
(%)]]+Materiais[[#This Row],[Custo Total
Sem Tributos (R$)]]</f>
        <v>0</v>
      </c>
      <c r="L216" s="92">
        <v>0.1</v>
      </c>
      <c r="M216" s="76">
        <f>Materiais[[#This Row],[Custo Total
Com IPI (R$)]]/(1-Materiais[[#This Row],[Margem
(%)]])</f>
        <v>0</v>
      </c>
      <c r="N216" s="16">
        <f>Materiais[[#This Row],[Valor Venda c/ Potencial Desconto  em Material (R$)]]-Materiais[[#This Row],[Custo Total
Com IPI (R$)]]</f>
        <v>0</v>
      </c>
      <c r="O216" s="93">
        <f>Materiais[[#This Row],[Valor Total
Com Margem
Sem Tributos   (R$)]]/(1-('Valores Finais'!$C$10))</f>
        <v>0</v>
      </c>
      <c r="P216" s="93">
        <f>Materiais[[#This Row],[Valor Venda c/ Potencial Desconto  em Material (R$)]]/(1-('Valores Finais'!$B$6))</f>
        <v>0</v>
      </c>
      <c r="Q216" s="84">
        <f>'Valores Finais'!$B$10</f>
        <v>0.12</v>
      </c>
      <c r="R216" s="76">
        <f>Materiais[[#This Row],[Valor Venda c/ Comissões (R$)]]/(1-Materiais[[#This Row],[Tributos
(%)]])-Materiais[[#This Row],[Valor Venda c/ Comissões (R$)]]</f>
        <v>0</v>
      </c>
      <c r="S216" s="76">
        <f>Materiais[[#This Row],[Valor Venda c/ Comissões (R$)]]+Materiais[[#This Row],[Tributos
(R$)]]</f>
        <v>0</v>
      </c>
      <c r="T216" s="185"/>
      <c r="U216" s="186">
        <f ca="1">IF(Materiais[[#This Row],[Data Update]] = "",0,IF(_xlfn.DAYS(NOW(),Materiais[[#This Row],[Data Update]])&lt;=0,0,_xlfn.DAYS(NOW(),Materiais[[#This Row],[Data Update]])))</f>
        <v>0</v>
      </c>
    </row>
    <row r="217" spans="1:21" x14ac:dyDescent="0.2">
      <c r="A217" s="46"/>
      <c r="B217" s="46"/>
      <c r="C217" s="46"/>
      <c r="D217" s="46"/>
      <c r="E217" s="46"/>
      <c r="F217" s="138"/>
      <c r="G217" s="129"/>
      <c r="H217" s="180"/>
      <c r="I217" s="5">
        <f>(Materiais[[#This Row],[Qtde.]]*Materiais[[#This Row],[Custo Unitário
Sem Tributos (R$)]])</f>
        <v>0</v>
      </c>
      <c r="J217" s="92">
        <v>0</v>
      </c>
      <c r="K217" s="140">
        <f>Materiais[[#This Row],[Custo Total
Sem Tributos (R$)]]*Materiais[[#This Row],[IPI
(%)]]+Materiais[[#This Row],[Custo Total
Sem Tributos (R$)]]</f>
        <v>0</v>
      </c>
      <c r="L217" s="92">
        <v>0.1</v>
      </c>
      <c r="M217" s="76">
        <f>Materiais[[#This Row],[Custo Total
Com IPI (R$)]]/(1-Materiais[[#This Row],[Margem
(%)]])</f>
        <v>0</v>
      </c>
      <c r="N217" s="16">
        <f>Materiais[[#This Row],[Valor Venda c/ Potencial Desconto  em Material (R$)]]-Materiais[[#This Row],[Custo Total
Com IPI (R$)]]</f>
        <v>0</v>
      </c>
      <c r="O217" s="93">
        <f>Materiais[[#This Row],[Valor Total
Com Margem
Sem Tributos   (R$)]]/(1-('Valores Finais'!$C$10))</f>
        <v>0</v>
      </c>
      <c r="P217" s="93">
        <f>Materiais[[#This Row],[Valor Venda c/ Potencial Desconto  em Material (R$)]]/(1-('Valores Finais'!$B$6))</f>
        <v>0</v>
      </c>
      <c r="Q217" s="84">
        <f>'Valores Finais'!$B$10</f>
        <v>0.12</v>
      </c>
      <c r="R217" s="76">
        <f>Materiais[[#This Row],[Valor Venda c/ Comissões (R$)]]/(1-Materiais[[#This Row],[Tributos
(%)]])-Materiais[[#This Row],[Valor Venda c/ Comissões (R$)]]</f>
        <v>0</v>
      </c>
      <c r="S217" s="76">
        <f>Materiais[[#This Row],[Valor Venda c/ Comissões (R$)]]+Materiais[[#This Row],[Tributos
(R$)]]</f>
        <v>0</v>
      </c>
      <c r="T217" s="185"/>
      <c r="U217" s="186">
        <f ca="1">IF(Materiais[[#This Row],[Data Update]] = "",0,IF(_xlfn.DAYS(NOW(),Materiais[[#This Row],[Data Update]])&lt;=0,0,_xlfn.DAYS(NOW(),Materiais[[#This Row],[Data Update]])))</f>
        <v>0</v>
      </c>
    </row>
    <row r="218" spans="1:21" x14ac:dyDescent="0.2">
      <c r="A218" s="46"/>
      <c r="B218" s="46"/>
      <c r="C218" s="46"/>
      <c r="D218" s="46"/>
      <c r="E218" s="46"/>
      <c r="F218" s="138"/>
      <c r="G218" s="129"/>
      <c r="H218" s="180"/>
      <c r="I218" s="5">
        <f>(Materiais[[#This Row],[Qtde.]]*Materiais[[#This Row],[Custo Unitário
Sem Tributos (R$)]])</f>
        <v>0</v>
      </c>
      <c r="J218" s="92">
        <v>0</v>
      </c>
      <c r="K218" s="140">
        <f>Materiais[[#This Row],[Custo Total
Sem Tributos (R$)]]*Materiais[[#This Row],[IPI
(%)]]+Materiais[[#This Row],[Custo Total
Sem Tributos (R$)]]</f>
        <v>0</v>
      </c>
      <c r="L218" s="92">
        <v>0.1</v>
      </c>
      <c r="M218" s="76">
        <f>Materiais[[#This Row],[Custo Total
Com IPI (R$)]]/(1-Materiais[[#This Row],[Margem
(%)]])</f>
        <v>0</v>
      </c>
      <c r="N218" s="16">
        <f>Materiais[[#This Row],[Valor Venda c/ Potencial Desconto  em Material (R$)]]-Materiais[[#This Row],[Custo Total
Com IPI (R$)]]</f>
        <v>0</v>
      </c>
      <c r="O218" s="93">
        <f>Materiais[[#This Row],[Valor Total
Com Margem
Sem Tributos   (R$)]]/(1-('Valores Finais'!$C$10))</f>
        <v>0</v>
      </c>
      <c r="P218" s="93">
        <f>Materiais[[#This Row],[Valor Venda c/ Potencial Desconto  em Material (R$)]]/(1-('Valores Finais'!$B$6))</f>
        <v>0</v>
      </c>
      <c r="Q218" s="84">
        <f>'Valores Finais'!$B$10</f>
        <v>0.12</v>
      </c>
      <c r="R218" s="76">
        <f>Materiais[[#This Row],[Valor Venda c/ Comissões (R$)]]/(1-Materiais[[#This Row],[Tributos
(%)]])-Materiais[[#This Row],[Valor Venda c/ Comissões (R$)]]</f>
        <v>0</v>
      </c>
      <c r="S218" s="76">
        <f>Materiais[[#This Row],[Valor Venda c/ Comissões (R$)]]+Materiais[[#This Row],[Tributos
(R$)]]</f>
        <v>0</v>
      </c>
      <c r="T218" s="185"/>
      <c r="U218" s="186">
        <f ca="1">IF(Materiais[[#This Row],[Data Update]] = "",0,IF(_xlfn.DAYS(NOW(),Materiais[[#This Row],[Data Update]])&lt;=0,0,_xlfn.DAYS(NOW(),Materiais[[#This Row],[Data Update]])))</f>
        <v>0</v>
      </c>
    </row>
    <row r="219" spans="1:21" x14ac:dyDescent="0.2">
      <c r="A219" s="46"/>
      <c r="B219" s="46"/>
      <c r="C219" s="46"/>
      <c r="D219" s="46"/>
      <c r="E219" s="46"/>
      <c r="F219" s="138"/>
      <c r="G219" s="129"/>
      <c r="H219" s="180"/>
      <c r="I219" s="5">
        <f>(Materiais[[#This Row],[Qtde.]]*Materiais[[#This Row],[Custo Unitário
Sem Tributos (R$)]])</f>
        <v>0</v>
      </c>
      <c r="J219" s="92">
        <v>0</v>
      </c>
      <c r="K219" s="140">
        <f>Materiais[[#This Row],[Custo Total
Sem Tributos (R$)]]*Materiais[[#This Row],[IPI
(%)]]+Materiais[[#This Row],[Custo Total
Sem Tributos (R$)]]</f>
        <v>0</v>
      </c>
      <c r="L219" s="92">
        <v>0.1</v>
      </c>
      <c r="M219" s="76">
        <f>Materiais[[#This Row],[Custo Total
Com IPI (R$)]]/(1-Materiais[[#This Row],[Margem
(%)]])</f>
        <v>0</v>
      </c>
      <c r="N219" s="16">
        <f>Materiais[[#This Row],[Valor Venda c/ Potencial Desconto  em Material (R$)]]-Materiais[[#This Row],[Custo Total
Com IPI (R$)]]</f>
        <v>0</v>
      </c>
      <c r="O219" s="93">
        <f>Materiais[[#This Row],[Valor Total
Com Margem
Sem Tributos   (R$)]]/(1-('Valores Finais'!$C$10))</f>
        <v>0</v>
      </c>
      <c r="P219" s="93">
        <f>Materiais[[#This Row],[Valor Venda c/ Potencial Desconto  em Material (R$)]]/(1-('Valores Finais'!$B$6))</f>
        <v>0</v>
      </c>
      <c r="Q219" s="84">
        <f>'Valores Finais'!$B$10</f>
        <v>0.12</v>
      </c>
      <c r="R219" s="76">
        <f>Materiais[[#This Row],[Valor Venda c/ Comissões (R$)]]/(1-Materiais[[#This Row],[Tributos
(%)]])-Materiais[[#This Row],[Valor Venda c/ Comissões (R$)]]</f>
        <v>0</v>
      </c>
      <c r="S219" s="76">
        <f>Materiais[[#This Row],[Valor Venda c/ Comissões (R$)]]+Materiais[[#This Row],[Tributos
(R$)]]</f>
        <v>0</v>
      </c>
      <c r="T219" s="185"/>
      <c r="U219" s="186">
        <f ca="1">IF(Materiais[[#This Row],[Data Update]] = "",0,IF(_xlfn.DAYS(NOW(),Materiais[[#This Row],[Data Update]])&lt;=0,0,_xlfn.DAYS(NOW(),Materiais[[#This Row],[Data Update]])))</f>
        <v>0</v>
      </c>
    </row>
    <row r="220" spans="1:21" x14ac:dyDescent="0.2">
      <c r="A220" s="46"/>
      <c r="B220" s="46"/>
      <c r="C220" s="46"/>
      <c r="D220" s="46"/>
      <c r="E220" s="46"/>
      <c r="F220" s="138"/>
      <c r="G220" s="129"/>
      <c r="H220" s="180"/>
      <c r="I220" s="5">
        <f>(Materiais[[#This Row],[Qtde.]]*Materiais[[#This Row],[Custo Unitário
Sem Tributos (R$)]])</f>
        <v>0</v>
      </c>
      <c r="J220" s="92">
        <v>0</v>
      </c>
      <c r="K220" s="140">
        <f>Materiais[[#This Row],[Custo Total
Sem Tributos (R$)]]*Materiais[[#This Row],[IPI
(%)]]+Materiais[[#This Row],[Custo Total
Sem Tributos (R$)]]</f>
        <v>0</v>
      </c>
      <c r="L220" s="92">
        <v>0.1</v>
      </c>
      <c r="M220" s="76">
        <f>Materiais[[#This Row],[Custo Total
Com IPI (R$)]]/(1-Materiais[[#This Row],[Margem
(%)]])</f>
        <v>0</v>
      </c>
      <c r="N220" s="16">
        <f>Materiais[[#This Row],[Valor Venda c/ Potencial Desconto  em Material (R$)]]-Materiais[[#This Row],[Custo Total
Com IPI (R$)]]</f>
        <v>0</v>
      </c>
      <c r="O220" s="93">
        <f>Materiais[[#This Row],[Valor Total
Com Margem
Sem Tributos   (R$)]]/(1-('Valores Finais'!$C$10))</f>
        <v>0</v>
      </c>
      <c r="P220" s="93">
        <f>Materiais[[#This Row],[Valor Venda c/ Potencial Desconto  em Material (R$)]]/(1-('Valores Finais'!$B$6))</f>
        <v>0</v>
      </c>
      <c r="Q220" s="84">
        <f>'Valores Finais'!$B$10</f>
        <v>0.12</v>
      </c>
      <c r="R220" s="76">
        <f>Materiais[[#This Row],[Valor Venda c/ Comissões (R$)]]/(1-Materiais[[#This Row],[Tributos
(%)]])-Materiais[[#This Row],[Valor Venda c/ Comissões (R$)]]</f>
        <v>0</v>
      </c>
      <c r="S220" s="76">
        <f>Materiais[[#This Row],[Valor Venda c/ Comissões (R$)]]+Materiais[[#This Row],[Tributos
(R$)]]</f>
        <v>0</v>
      </c>
      <c r="T220" s="185"/>
      <c r="U220" s="186">
        <f ca="1">IF(Materiais[[#This Row],[Data Update]] = "",0,IF(_xlfn.DAYS(NOW(),Materiais[[#This Row],[Data Update]])&lt;=0,0,_xlfn.DAYS(NOW(),Materiais[[#This Row],[Data Update]])))</f>
        <v>0</v>
      </c>
    </row>
    <row r="221" spans="1:21" x14ac:dyDescent="0.2">
      <c r="A221" s="46"/>
      <c r="B221" s="46"/>
      <c r="C221" s="46"/>
      <c r="D221" s="46"/>
      <c r="E221" s="46"/>
      <c r="F221" s="138"/>
      <c r="G221" s="129"/>
      <c r="H221" s="180"/>
      <c r="I221" s="5">
        <f>(Materiais[[#This Row],[Qtde.]]*Materiais[[#This Row],[Custo Unitário
Sem Tributos (R$)]])</f>
        <v>0</v>
      </c>
      <c r="J221" s="92">
        <v>0</v>
      </c>
      <c r="K221" s="140">
        <f>Materiais[[#This Row],[Custo Total
Sem Tributos (R$)]]*Materiais[[#This Row],[IPI
(%)]]+Materiais[[#This Row],[Custo Total
Sem Tributos (R$)]]</f>
        <v>0</v>
      </c>
      <c r="L221" s="92">
        <v>0.1</v>
      </c>
      <c r="M221" s="76">
        <f>Materiais[[#This Row],[Custo Total
Com IPI (R$)]]/(1-Materiais[[#This Row],[Margem
(%)]])</f>
        <v>0</v>
      </c>
      <c r="N221" s="16">
        <f>Materiais[[#This Row],[Valor Venda c/ Potencial Desconto  em Material (R$)]]-Materiais[[#This Row],[Custo Total
Com IPI (R$)]]</f>
        <v>0</v>
      </c>
      <c r="O221" s="93">
        <f>Materiais[[#This Row],[Valor Total
Com Margem
Sem Tributos   (R$)]]/(1-('Valores Finais'!$C$10))</f>
        <v>0</v>
      </c>
      <c r="P221" s="93">
        <f>Materiais[[#This Row],[Valor Venda c/ Potencial Desconto  em Material (R$)]]/(1-('Valores Finais'!$B$6))</f>
        <v>0</v>
      </c>
      <c r="Q221" s="84">
        <f>'Valores Finais'!$B$10</f>
        <v>0.12</v>
      </c>
      <c r="R221" s="76">
        <f>Materiais[[#This Row],[Valor Venda c/ Comissões (R$)]]/(1-Materiais[[#This Row],[Tributos
(%)]])-Materiais[[#This Row],[Valor Venda c/ Comissões (R$)]]</f>
        <v>0</v>
      </c>
      <c r="S221" s="76">
        <f>Materiais[[#This Row],[Valor Venda c/ Comissões (R$)]]+Materiais[[#This Row],[Tributos
(R$)]]</f>
        <v>0</v>
      </c>
      <c r="T221" s="185"/>
      <c r="U221" s="186">
        <f ca="1">IF(Materiais[[#This Row],[Data Update]] = "",0,IF(_xlfn.DAYS(NOW(),Materiais[[#This Row],[Data Update]])&lt;=0,0,_xlfn.DAYS(NOW(),Materiais[[#This Row],[Data Update]])))</f>
        <v>0</v>
      </c>
    </row>
    <row r="222" spans="1:21" x14ac:dyDescent="0.2">
      <c r="A222" s="46"/>
      <c r="B222" s="46"/>
      <c r="C222" s="46"/>
      <c r="D222" s="46"/>
      <c r="E222" s="46"/>
      <c r="F222" s="138"/>
      <c r="G222" s="129"/>
      <c r="H222" s="180"/>
      <c r="I222" s="5">
        <f>(Materiais[[#This Row],[Qtde.]]*Materiais[[#This Row],[Custo Unitário
Sem Tributos (R$)]])</f>
        <v>0</v>
      </c>
      <c r="J222" s="92">
        <v>0</v>
      </c>
      <c r="K222" s="140">
        <f>Materiais[[#This Row],[Custo Total
Sem Tributos (R$)]]*Materiais[[#This Row],[IPI
(%)]]+Materiais[[#This Row],[Custo Total
Sem Tributos (R$)]]</f>
        <v>0</v>
      </c>
      <c r="L222" s="92">
        <v>0.1</v>
      </c>
      <c r="M222" s="76">
        <f>Materiais[[#This Row],[Custo Total
Com IPI (R$)]]/(1-Materiais[[#This Row],[Margem
(%)]])</f>
        <v>0</v>
      </c>
      <c r="N222" s="16">
        <f>Materiais[[#This Row],[Valor Venda c/ Potencial Desconto  em Material (R$)]]-Materiais[[#This Row],[Custo Total
Com IPI (R$)]]</f>
        <v>0</v>
      </c>
      <c r="O222" s="93">
        <f>Materiais[[#This Row],[Valor Total
Com Margem
Sem Tributos   (R$)]]/(1-('Valores Finais'!$C$10))</f>
        <v>0</v>
      </c>
      <c r="P222" s="93">
        <f>Materiais[[#This Row],[Valor Venda c/ Potencial Desconto  em Material (R$)]]/(1-('Valores Finais'!$B$6))</f>
        <v>0</v>
      </c>
      <c r="Q222" s="84">
        <f>'Valores Finais'!$B$10</f>
        <v>0.12</v>
      </c>
      <c r="R222" s="76">
        <f>Materiais[[#This Row],[Valor Venda c/ Comissões (R$)]]/(1-Materiais[[#This Row],[Tributos
(%)]])-Materiais[[#This Row],[Valor Venda c/ Comissões (R$)]]</f>
        <v>0</v>
      </c>
      <c r="S222" s="76">
        <f>Materiais[[#This Row],[Valor Venda c/ Comissões (R$)]]+Materiais[[#This Row],[Tributos
(R$)]]</f>
        <v>0</v>
      </c>
      <c r="T222" s="185"/>
      <c r="U222" s="186">
        <f ca="1">IF(Materiais[[#This Row],[Data Update]] = "",0,IF(_xlfn.DAYS(NOW(),Materiais[[#This Row],[Data Update]])&lt;=0,0,_xlfn.DAYS(NOW(),Materiais[[#This Row],[Data Update]])))</f>
        <v>0</v>
      </c>
    </row>
    <row r="223" spans="1:21" x14ac:dyDescent="0.2">
      <c r="A223" s="46"/>
      <c r="B223" s="46"/>
      <c r="C223" s="46"/>
      <c r="D223" s="46"/>
      <c r="E223" s="46"/>
      <c r="F223" s="138"/>
      <c r="G223" s="129"/>
      <c r="H223" s="180"/>
      <c r="I223" s="5">
        <f>(Materiais[[#This Row],[Qtde.]]*Materiais[[#This Row],[Custo Unitário
Sem Tributos (R$)]])</f>
        <v>0</v>
      </c>
      <c r="J223" s="92">
        <v>0</v>
      </c>
      <c r="K223" s="140">
        <f>Materiais[[#This Row],[Custo Total
Sem Tributos (R$)]]*Materiais[[#This Row],[IPI
(%)]]+Materiais[[#This Row],[Custo Total
Sem Tributos (R$)]]</f>
        <v>0</v>
      </c>
      <c r="L223" s="92">
        <v>0.1</v>
      </c>
      <c r="M223" s="76">
        <f>Materiais[[#This Row],[Custo Total
Com IPI (R$)]]/(1-Materiais[[#This Row],[Margem
(%)]])</f>
        <v>0</v>
      </c>
      <c r="N223" s="16">
        <f>Materiais[[#This Row],[Valor Venda c/ Potencial Desconto  em Material (R$)]]-Materiais[[#This Row],[Custo Total
Com IPI (R$)]]</f>
        <v>0</v>
      </c>
      <c r="O223" s="93">
        <f>Materiais[[#This Row],[Valor Total
Com Margem
Sem Tributos   (R$)]]/(1-('Valores Finais'!$C$10))</f>
        <v>0</v>
      </c>
      <c r="P223" s="93">
        <f>Materiais[[#This Row],[Valor Venda c/ Potencial Desconto  em Material (R$)]]/(1-('Valores Finais'!$B$6))</f>
        <v>0</v>
      </c>
      <c r="Q223" s="84">
        <f>'Valores Finais'!$B$10</f>
        <v>0.12</v>
      </c>
      <c r="R223" s="76">
        <f>Materiais[[#This Row],[Valor Venda c/ Comissões (R$)]]/(1-Materiais[[#This Row],[Tributos
(%)]])-Materiais[[#This Row],[Valor Venda c/ Comissões (R$)]]</f>
        <v>0</v>
      </c>
      <c r="S223" s="76">
        <f>Materiais[[#This Row],[Valor Venda c/ Comissões (R$)]]+Materiais[[#This Row],[Tributos
(R$)]]</f>
        <v>0</v>
      </c>
      <c r="T223" s="185"/>
      <c r="U223" s="186">
        <f ca="1">IF(Materiais[[#This Row],[Data Update]] = "",0,IF(_xlfn.DAYS(NOW(),Materiais[[#This Row],[Data Update]])&lt;=0,0,_xlfn.DAYS(NOW(),Materiais[[#This Row],[Data Update]])))</f>
        <v>0</v>
      </c>
    </row>
    <row r="224" spans="1:21" x14ac:dyDescent="0.2">
      <c r="A224" s="46"/>
      <c r="B224" s="46"/>
      <c r="C224" s="46"/>
      <c r="D224" s="46"/>
      <c r="E224" s="46"/>
      <c r="F224" s="138"/>
      <c r="G224" s="129"/>
      <c r="H224" s="180"/>
      <c r="I224" s="5">
        <f>(Materiais[[#This Row],[Qtde.]]*Materiais[[#This Row],[Custo Unitário
Sem Tributos (R$)]])</f>
        <v>0</v>
      </c>
      <c r="J224" s="92">
        <v>0</v>
      </c>
      <c r="K224" s="140">
        <f>Materiais[[#This Row],[Custo Total
Sem Tributos (R$)]]*Materiais[[#This Row],[IPI
(%)]]+Materiais[[#This Row],[Custo Total
Sem Tributos (R$)]]</f>
        <v>0</v>
      </c>
      <c r="L224" s="92">
        <v>0.1</v>
      </c>
      <c r="M224" s="76">
        <f>Materiais[[#This Row],[Custo Total
Com IPI (R$)]]/(1-Materiais[[#This Row],[Margem
(%)]])</f>
        <v>0</v>
      </c>
      <c r="N224" s="16">
        <f>Materiais[[#This Row],[Valor Venda c/ Potencial Desconto  em Material (R$)]]-Materiais[[#This Row],[Custo Total
Com IPI (R$)]]</f>
        <v>0</v>
      </c>
      <c r="O224" s="93">
        <f>Materiais[[#This Row],[Valor Total
Com Margem
Sem Tributos   (R$)]]/(1-('Valores Finais'!$C$10))</f>
        <v>0</v>
      </c>
      <c r="P224" s="93">
        <f>Materiais[[#This Row],[Valor Venda c/ Potencial Desconto  em Material (R$)]]/(1-('Valores Finais'!$B$6))</f>
        <v>0</v>
      </c>
      <c r="Q224" s="84">
        <f>'Valores Finais'!$B$10</f>
        <v>0.12</v>
      </c>
      <c r="R224" s="76">
        <f>Materiais[[#This Row],[Valor Venda c/ Comissões (R$)]]/(1-Materiais[[#This Row],[Tributos
(%)]])-Materiais[[#This Row],[Valor Venda c/ Comissões (R$)]]</f>
        <v>0</v>
      </c>
      <c r="S224" s="76">
        <f>Materiais[[#This Row],[Valor Venda c/ Comissões (R$)]]+Materiais[[#This Row],[Tributos
(R$)]]</f>
        <v>0</v>
      </c>
      <c r="T224" s="185"/>
      <c r="U224" s="186">
        <f ca="1">IF(Materiais[[#This Row],[Data Update]] = "",0,IF(_xlfn.DAYS(NOW(),Materiais[[#This Row],[Data Update]])&lt;=0,0,_xlfn.DAYS(NOW(),Materiais[[#This Row],[Data Update]])))</f>
        <v>0</v>
      </c>
    </row>
    <row r="225" spans="1:21" x14ac:dyDescent="0.2">
      <c r="A225" s="46"/>
      <c r="B225" s="46"/>
      <c r="C225" s="46"/>
      <c r="D225" s="46"/>
      <c r="E225" s="46"/>
      <c r="F225" s="138"/>
      <c r="G225" s="129"/>
      <c r="H225" s="180"/>
      <c r="I225" s="5">
        <f>(Materiais[[#This Row],[Qtde.]]*Materiais[[#This Row],[Custo Unitário
Sem Tributos (R$)]])</f>
        <v>0</v>
      </c>
      <c r="J225" s="92">
        <v>0</v>
      </c>
      <c r="K225" s="140">
        <f>Materiais[[#This Row],[Custo Total
Sem Tributos (R$)]]*Materiais[[#This Row],[IPI
(%)]]+Materiais[[#This Row],[Custo Total
Sem Tributos (R$)]]</f>
        <v>0</v>
      </c>
      <c r="L225" s="92">
        <v>0.1</v>
      </c>
      <c r="M225" s="76">
        <f>Materiais[[#This Row],[Custo Total
Com IPI (R$)]]/(1-Materiais[[#This Row],[Margem
(%)]])</f>
        <v>0</v>
      </c>
      <c r="N225" s="16">
        <f>Materiais[[#This Row],[Valor Venda c/ Potencial Desconto  em Material (R$)]]-Materiais[[#This Row],[Custo Total
Com IPI (R$)]]</f>
        <v>0</v>
      </c>
      <c r="O225" s="93">
        <f>Materiais[[#This Row],[Valor Total
Com Margem
Sem Tributos   (R$)]]/(1-('Valores Finais'!$C$10))</f>
        <v>0</v>
      </c>
      <c r="P225" s="93">
        <f>Materiais[[#This Row],[Valor Venda c/ Potencial Desconto  em Material (R$)]]/(1-('Valores Finais'!$B$6))</f>
        <v>0</v>
      </c>
      <c r="Q225" s="84">
        <f>'Valores Finais'!$B$10</f>
        <v>0.12</v>
      </c>
      <c r="R225" s="76">
        <f>Materiais[[#This Row],[Valor Venda c/ Comissões (R$)]]/(1-Materiais[[#This Row],[Tributos
(%)]])-Materiais[[#This Row],[Valor Venda c/ Comissões (R$)]]</f>
        <v>0</v>
      </c>
      <c r="S225" s="76">
        <f>Materiais[[#This Row],[Valor Venda c/ Comissões (R$)]]+Materiais[[#This Row],[Tributos
(R$)]]</f>
        <v>0</v>
      </c>
      <c r="T225" s="185"/>
      <c r="U225" s="186">
        <f ca="1">IF(Materiais[[#This Row],[Data Update]] = "",0,IF(_xlfn.DAYS(NOW(),Materiais[[#This Row],[Data Update]])&lt;=0,0,_xlfn.DAYS(NOW(),Materiais[[#This Row],[Data Update]])))</f>
        <v>0</v>
      </c>
    </row>
    <row r="226" spans="1:21" x14ac:dyDescent="0.2">
      <c r="A226" s="46"/>
      <c r="B226" s="46"/>
      <c r="C226" s="46"/>
      <c r="D226" s="46"/>
      <c r="E226" s="46"/>
      <c r="F226" s="138"/>
      <c r="G226" s="129"/>
      <c r="H226" s="180"/>
      <c r="I226" s="5">
        <f>(Materiais[[#This Row],[Qtde.]]*Materiais[[#This Row],[Custo Unitário
Sem Tributos (R$)]])</f>
        <v>0</v>
      </c>
      <c r="J226" s="92">
        <v>0</v>
      </c>
      <c r="K226" s="140">
        <f>Materiais[[#This Row],[Custo Total
Sem Tributos (R$)]]*Materiais[[#This Row],[IPI
(%)]]+Materiais[[#This Row],[Custo Total
Sem Tributos (R$)]]</f>
        <v>0</v>
      </c>
      <c r="L226" s="92">
        <v>0.1</v>
      </c>
      <c r="M226" s="76">
        <f>Materiais[[#This Row],[Custo Total
Com IPI (R$)]]/(1-Materiais[[#This Row],[Margem
(%)]])</f>
        <v>0</v>
      </c>
      <c r="N226" s="16">
        <f>Materiais[[#This Row],[Valor Venda c/ Potencial Desconto  em Material (R$)]]-Materiais[[#This Row],[Custo Total
Com IPI (R$)]]</f>
        <v>0</v>
      </c>
      <c r="O226" s="93">
        <f>Materiais[[#This Row],[Valor Total
Com Margem
Sem Tributos   (R$)]]/(1-('Valores Finais'!$C$10))</f>
        <v>0</v>
      </c>
      <c r="P226" s="93">
        <f>Materiais[[#This Row],[Valor Venda c/ Potencial Desconto  em Material (R$)]]/(1-('Valores Finais'!$B$6))</f>
        <v>0</v>
      </c>
      <c r="Q226" s="84">
        <f>'Valores Finais'!$B$10</f>
        <v>0.12</v>
      </c>
      <c r="R226" s="76">
        <f>Materiais[[#This Row],[Valor Venda c/ Comissões (R$)]]/(1-Materiais[[#This Row],[Tributos
(%)]])-Materiais[[#This Row],[Valor Venda c/ Comissões (R$)]]</f>
        <v>0</v>
      </c>
      <c r="S226" s="76">
        <f>Materiais[[#This Row],[Valor Venda c/ Comissões (R$)]]+Materiais[[#This Row],[Tributos
(R$)]]</f>
        <v>0</v>
      </c>
      <c r="T226" s="185"/>
      <c r="U226" s="186">
        <f ca="1">IF(Materiais[[#This Row],[Data Update]] = "",0,IF(_xlfn.DAYS(NOW(),Materiais[[#This Row],[Data Update]])&lt;=0,0,_xlfn.DAYS(NOW(),Materiais[[#This Row],[Data Update]])))</f>
        <v>0</v>
      </c>
    </row>
    <row r="227" spans="1:21" x14ac:dyDescent="0.2">
      <c r="A227" s="46"/>
      <c r="B227" s="46"/>
      <c r="C227" s="46"/>
      <c r="D227" s="46"/>
      <c r="E227" s="46"/>
      <c r="F227" s="138"/>
      <c r="G227" s="129"/>
      <c r="H227" s="180"/>
      <c r="I227" s="5">
        <f>(Materiais[[#This Row],[Qtde.]]*Materiais[[#This Row],[Custo Unitário
Sem Tributos (R$)]])</f>
        <v>0</v>
      </c>
      <c r="J227" s="92">
        <v>0</v>
      </c>
      <c r="K227" s="140">
        <f>Materiais[[#This Row],[Custo Total
Sem Tributos (R$)]]*Materiais[[#This Row],[IPI
(%)]]+Materiais[[#This Row],[Custo Total
Sem Tributos (R$)]]</f>
        <v>0</v>
      </c>
      <c r="L227" s="92">
        <v>0.1</v>
      </c>
      <c r="M227" s="76">
        <f>Materiais[[#This Row],[Custo Total
Com IPI (R$)]]/(1-Materiais[[#This Row],[Margem
(%)]])</f>
        <v>0</v>
      </c>
      <c r="N227" s="16">
        <f>Materiais[[#This Row],[Valor Venda c/ Potencial Desconto  em Material (R$)]]-Materiais[[#This Row],[Custo Total
Com IPI (R$)]]</f>
        <v>0</v>
      </c>
      <c r="O227" s="93">
        <f>Materiais[[#This Row],[Valor Total
Com Margem
Sem Tributos   (R$)]]/(1-('Valores Finais'!$C$10))</f>
        <v>0</v>
      </c>
      <c r="P227" s="93">
        <f>Materiais[[#This Row],[Valor Venda c/ Potencial Desconto  em Material (R$)]]/(1-('Valores Finais'!$B$6))</f>
        <v>0</v>
      </c>
      <c r="Q227" s="84">
        <f>'Valores Finais'!$B$10</f>
        <v>0.12</v>
      </c>
      <c r="R227" s="76">
        <f>Materiais[[#This Row],[Valor Venda c/ Comissões (R$)]]/(1-Materiais[[#This Row],[Tributos
(%)]])-Materiais[[#This Row],[Valor Venda c/ Comissões (R$)]]</f>
        <v>0</v>
      </c>
      <c r="S227" s="76">
        <f>Materiais[[#This Row],[Valor Venda c/ Comissões (R$)]]+Materiais[[#This Row],[Tributos
(R$)]]</f>
        <v>0</v>
      </c>
      <c r="T227" s="185"/>
      <c r="U227" s="186">
        <f ca="1">IF(Materiais[[#This Row],[Data Update]] = "",0,IF(_xlfn.DAYS(NOW(),Materiais[[#This Row],[Data Update]])&lt;=0,0,_xlfn.DAYS(NOW(),Materiais[[#This Row],[Data Update]])))</f>
        <v>0</v>
      </c>
    </row>
    <row r="228" spans="1:21" x14ac:dyDescent="0.2">
      <c r="A228" s="46"/>
      <c r="B228" s="46"/>
      <c r="C228" s="46"/>
      <c r="D228" s="46"/>
      <c r="E228" s="46"/>
      <c r="F228" s="138"/>
      <c r="G228" s="129"/>
      <c r="H228" s="180"/>
      <c r="I228" s="5">
        <f>(Materiais[[#This Row],[Qtde.]]*Materiais[[#This Row],[Custo Unitário
Sem Tributos (R$)]])</f>
        <v>0</v>
      </c>
      <c r="J228" s="92">
        <v>0</v>
      </c>
      <c r="K228" s="140">
        <f>Materiais[[#This Row],[Custo Total
Sem Tributos (R$)]]*Materiais[[#This Row],[IPI
(%)]]+Materiais[[#This Row],[Custo Total
Sem Tributos (R$)]]</f>
        <v>0</v>
      </c>
      <c r="L228" s="92">
        <v>0.1</v>
      </c>
      <c r="M228" s="76">
        <f>Materiais[[#This Row],[Custo Total
Com IPI (R$)]]/(1-Materiais[[#This Row],[Margem
(%)]])</f>
        <v>0</v>
      </c>
      <c r="N228" s="16">
        <f>Materiais[[#This Row],[Valor Venda c/ Potencial Desconto  em Material (R$)]]-Materiais[[#This Row],[Custo Total
Com IPI (R$)]]</f>
        <v>0</v>
      </c>
      <c r="O228" s="93">
        <f>Materiais[[#This Row],[Valor Total
Com Margem
Sem Tributos   (R$)]]/(1-('Valores Finais'!$C$10))</f>
        <v>0</v>
      </c>
      <c r="P228" s="93">
        <f>Materiais[[#This Row],[Valor Venda c/ Potencial Desconto  em Material (R$)]]/(1-('Valores Finais'!$B$6))</f>
        <v>0</v>
      </c>
      <c r="Q228" s="84">
        <f>'Valores Finais'!$B$10</f>
        <v>0.12</v>
      </c>
      <c r="R228" s="76">
        <f>Materiais[[#This Row],[Valor Venda c/ Comissões (R$)]]/(1-Materiais[[#This Row],[Tributos
(%)]])-Materiais[[#This Row],[Valor Venda c/ Comissões (R$)]]</f>
        <v>0</v>
      </c>
      <c r="S228" s="76">
        <f>Materiais[[#This Row],[Valor Venda c/ Comissões (R$)]]+Materiais[[#This Row],[Tributos
(R$)]]</f>
        <v>0</v>
      </c>
      <c r="T228" s="185"/>
      <c r="U228" s="186">
        <f ca="1">IF(Materiais[[#This Row],[Data Update]] = "",0,IF(_xlfn.DAYS(NOW(),Materiais[[#This Row],[Data Update]])&lt;=0,0,_xlfn.DAYS(NOW(),Materiais[[#This Row],[Data Update]])))</f>
        <v>0</v>
      </c>
    </row>
    <row r="229" spans="1:21" x14ac:dyDescent="0.2">
      <c r="A229" s="46"/>
      <c r="B229" s="46"/>
      <c r="C229" s="46"/>
      <c r="D229" s="46"/>
      <c r="E229" s="46"/>
      <c r="F229" s="138"/>
      <c r="G229" s="129"/>
      <c r="H229" s="180"/>
      <c r="I229" s="5">
        <f>(Materiais[[#This Row],[Qtde.]]*Materiais[[#This Row],[Custo Unitário
Sem Tributos (R$)]])</f>
        <v>0</v>
      </c>
      <c r="J229" s="92">
        <v>0</v>
      </c>
      <c r="K229" s="140">
        <f>Materiais[[#This Row],[Custo Total
Sem Tributos (R$)]]*Materiais[[#This Row],[IPI
(%)]]+Materiais[[#This Row],[Custo Total
Sem Tributos (R$)]]</f>
        <v>0</v>
      </c>
      <c r="L229" s="92">
        <v>0.1</v>
      </c>
      <c r="M229" s="76">
        <f>Materiais[[#This Row],[Custo Total
Com IPI (R$)]]/(1-Materiais[[#This Row],[Margem
(%)]])</f>
        <v>0</v>
      </c>
      <c r="N229" s="16">
        <f>Materiais[[#This Row],[Valor Venda c/ Potencial Desconto  em Material (R$)]]-Materiais[[#This Row],[Custo Total
Com IPI (R$)]]</f>
        <v>0</v>
      </c>
      <c r="O229" s="93">
        <f>Materiais[[#This Row],[Valor Total
Com Margem
Sem Tributos   (R$)]]/(1-('Valores Finais'!$C$10))</f>
        <v>0</v>
      </c>
      <c r="P229" s="93">
        <f>Materiais[[#This Row],[Valor Venda c/ Potencial Desconto  em Material (R$)]]/(1-('Valores Finais'!$B$6))</f>
        <v>0</v>
      </c>
      <c r="Q229" s="84">
        <f>'Valores Finais'!$B$10</f>
        <v>0.12</v>
      </c>
      <c r="R229" s="76">
        <f>Materiais[[#This Row],[Valor Venda c/ Comissões (R$)]]/(1-Materiais[[#This Row],[Tributos
(%)]])-Materiais[[#This Row],[Valor Venda c/ Comissões (R$)]]</f>
        <v>0</v>
      </c>
      <c r="S229" s="76">
        <f>Materiais[[#This Row],[Valor Venda c/ Comissões (R$)]]+Materiais[[#This Row],[Tributos
(R$)]]</f>
        <v>0</v>
      </c>
      <c r="T229" s="185"/>
      <c r="U229" s="186">
        <f ca="1">IF(Materiais[[#This Row],[Data Update]] = "",0,IF(_xlfn.DAYS(NOW(),Materiais[[#This Row],[Data Update]])&lt;=0,0,_xlfn.DAYS(NOW(),Materiais[[#This Row],[Data Update]])))</f>
        <v>0</v>
      </c>
    </row>
    <row r="230" spans="1:21" x14ac:dyDescent="0.2">
      <c r="A230" s="46"/>
      <c r="B230" s="46"/>
      <c r="C230" s="46"/>
      <c r="D230" s="46"/>
      <c r="E230" s="46"/>
      <c r="F230" s="138"/>
      <c r="G230" s="129"/>
      <c r="H230" s="180"/>
      <c r="I230" s="5">
        <f>(Materiais[[#This Row],[Qtde.]]*Materiais[[#This Row],[Custo Unitário
Sem Tributos (R$)]])</f>
        <v>0</v>
      </c>
      <c r="J230" s="92">
        <v>0</v>
      </c>
      <c r="K230" s="140">
        <f>Materiais[[#This Row],[Custo Total
Sem Tributos (R$)]]*Materiais[[#This Row],[IPI
(%)]]+Materiais[[#This Row],[Custo Total
Sem Tributos (R$)]]</f>
        <v>0</v>
      </c>
      <c r="L230" s="92">
        <v>0.1</v>
      </c>
      <c r="M230" s="76">
        <f>Materiais[[#This Row],[Custo Total
Com IPI (R$)]]/(1-Materiais[[#This Row],[Margem
(%)]])</f>
        <v>0</v>
      </c>
      <c r="N230" s="16">
        <f>Materiais[[#This Row],[Valor Venda c/ Potencial Desconto  em Material (R$)]]-Materiais[[#This Row],[Custo Total
Com IPI (R$)]]</f>
        <v>0</v>
      </c>
      <c r="O230" s="93">
        <f>Materiais[[#This Row],[Valor Total
Com Margem
Sem Tributos   (R$)]]/(1-('Valores Finais'!$C$10))</f>
        <v>0</v>
      </c>
      <c r="P230" s="93">
        <f>Materiais[[#This Row],[Valor Venda c/ Potencial Desconto  em Material (R$)]]/(1-('Valores Finais'!$B$6))</f>
        <v>0</v>
      </c>
      <c r="Q230" s="84">
        <f>'Valores Finais'!$B$10</f>
        <v>0.12</v>
      </c>
      <c r="R230" s="76">
        <f>Materiais[[#This Row],[Valor Venda c/ Comissões (R$)]]/(1-Materiais[[#This Row],[Tributos
(%)]])-Materiais[[#This Row],[Valor Venda c/ Comissões (R$)]]</f>
        <v>0</v>
      </c>
      <c r="S230" s="76">
        <f>Materiais[[#This Row],[Valor Venda c/ Comissões (R$)]]+Materiais[[#This Row],[Tributos
(R$)]]</f>
        <v>0</v>
      </c>
      <c r="T230" s="185"/>
      <c r="U230" s="186">
        <f ca="1">IF(Materiais[[#This Row],[Data Update]] = "",0,IF(_xlfn.DAYS(NOW(),Materiais[[#This Row],[Data Update]])&lt;=0,0,_xlfn.DAYS(NOW(),Materiais[[#This Row],[Data Update]])))</f>
        <v>0</v>
      </c>
    </row>
    <row r="231" spans="1:21" x14ac:dyDescent="0.2">
      <c r="A231" s="46"/>
      <c r="B231" s="46"/>
      <c r="C231" s="46"/>
      <c r="D231" s="46"/>
      <c r="E231" s="46"/>
      <c r="F231" s="138"/>
      <c r="G231" s="129"/>
      <c r="H231" s="180"/>
      <c r="I231" s="5">
        <f>(Materiais[[#This Row],[Qtde.]]*Materiais[[#This Row],[Custo Unitário
Sem Tributos (R$)]])</f>
        <v>0</v>
      </c>
      <c r="J231" s="92">
        <v>0</v>
      </c>
      <c r="K231" s="140">
        <f>Materiais[[#This Row],[Custo Total
Sem Tributos (R$)]]*Materiais[[#This Row],[IPI
(%)]]+Materiais[[#This Row],[Custo Total
Sem Tributos (R$)]]</f>
        <v>0</v>
      </c>
      <c r="L231" s="92">
        <v>0.1</v>
      </c>
      <c r="M231" s="76">
        <f>Materiais[[#This Row],[Custo Total
Com IPI (R$)]]/(1-Materiais[[#This Row],[Margem
(%)]])</f>
        <v>0</v>
      </c>
      <c r="N231" s="16">
        <f>Materiais[[#This Row],[Valor Venda c/ Potencial Desconto  em Material (R$)]]-Materiais[[#This Row],[Custo Total
Com IPI (R$)]]</f>
        <v>0</v>
      </c>
      <c r="O231" s="93">
        <f>Materiais[[#This Row],[Valor Total
Com Margem
Sem Tributos   (R$)]]/(1-('Valores Finais'!$C$10))</f>
        <v>0</v>
      </c>
      <c r="P231" s="93">
        <f>Materiais[[#This Row],[Valor Venda c/ Potencial Desconto  em Material (R$)]]/(1-('Valores Finais'!$B$6))</f>
        <v>0</v>
      </c>
      <c r="Q231" s="84">
        <f>'Valores Finais'!$B$10</f>
        <v>0.12</v>
      </c>
      <c r="R231" s="76">
        <f>Materiais[[#This Row],[Valor Venda c/ Comissões (R$)]]/(1-Materiais[[#This Row],[Tributos
(%)]])-Materiais[[#This Row],[Valor Venda c/ Comissões (R$)]]</f>
        <v>0</v>
      </c>
      <c r="S231" s="76">
        <f>Materiais[[#This Row],[Valor Venda c/ Comissões (R$)]]+Materiais[[#This Row],[Tributos
(R$)]]</f>
        <v>0</v>
      </c>
      <c r="T231" s="185"/>
      <c r="U231" s="186">
        <f ca="1">IF(Materiais[[#This Row],[Data Update]] = "",0,IF(_xlfn.DAYS(NOW(),Materiais[[#This Row],[Data Update]])&lt;=0,0,_xlfn.DAYS(NOW(),Materiais[[#This Row],[Data Update]])))</f>
        <v>0</v>
      </c>
    </row>
    <row r="232" spans="1:21" x14ac:dyDescent="0.2">
      <c r="A232" s="46"/>
      <c r="B232" s="46"/>
      <c r="C232" s="46"/>
      <c r="D232" s="46"/>
      <c r="E232" s="46"/>
      <c r="F232" s="138"/>
      <c r="G232" s="129"/>
      <c r="H232" s="180"/>
      <c r="I232" s="5">
        <f>(Materiais[[#This Row],[Qtde.]]*Materiais[[#This Row],[Custo Unitário
Sem Tributos (R$)]])</f>
        <v>0</v>
      </c>
      <c r="J232" s="92">
        <v>0</v>
      </c>
      <c r="K232" s="140">
        <f>Materiais[[#This Row],[Custo Total
Sem Tributos (R$)]]*Materiais[[#This Row],[IPI
(%)]]+Materiais[[#This Row],[Custo Total
Sem Tributos (R$)]]</f>
        <v>0</v>
      </c>
      <c r="L232" s="92">
        <v>0.1</v>
      </c>
      <c r="M232" s="76">
        <f>Materiais[[#This Row],[Custo Total
Com IPI (R$)]]/(1-Materiais[[#This Row],[Margem
(%)]])</f>
        <v>0</v>
      </c>
      <c r="N232" s="16">
        <f>Materiais[[#This Row],[Valor Venda c/ Potencial Desconto  em Material (R$)]]-Materiais[[#This Row],[Custo Total
Com IPI (R$)]]</f>
        <v>0</v>
      </c>
      <c r="O232" s="93">
        <f>Materiais[[#This Row],[Valor Total
Com Margem
Sem Tributos   (R$)]]/(1-('Valores Finais'!$C$10))</f>
        <v>0</v>
      </c>
      <c r="P232" s="93">
        <f>Materiais[[#This Row],[Valor Venda c/ Potencial Desconto  em Material (R$)]]/(1-('Valores Finais'!$B$6))</f>
        <v>0</v>
      </c>
      <c r="Q232" s="84">
        <f>'Valores Finais'!$B$10</f>
        <v>0.12</v>
      </c>
      <c r="R232" s="76">
        <f>Materiais[[#This Row],[Valor Venda c/ Comissões (R$)]]/(1-Materiais[[#This Row],[Tributos
(%)]])-Materiais[[#This Row],[Valor Venda c/ Comissões (R$)]]</f>
        <v>0</v>
      </c>
      <c r="S232" s="76">
        <f>Materiais[[#This Row],[Valor Venda c/ Comissões (R$)]]+Materiais[[#This Row],[Tributos
(R$)]]</f>
        <v>0</v>
      </c>
      <c r="T232" s="185"/>
      <c r="U232" s="186">
        <f ca="1">IF(Materiais[[#This Row],[Data Update]] = "",0,IF(_xlfn.DAYS(NOW(),Materiais[[#This Row],[Data Update]])&lt;=0,0,_xlfn.DAYS(NOW(),Materiais[[#This Row],[Data Update]])))</f>
        <v>0</v>
      </c>
    </row>
    <row r="233" spans="1:21" x14ac:dyDescent="0.2">
      <c r="A233" s="46"/>
      <c r="B233" s="46"/>
      <c r="C233" s="46"/>
      <c r="D233" s="46"/>
      <c r="E233" s="46"/>
      <c r="F233" s="138"/>
      <c r="G233" s="129"/>
      <c r="H233" s="180"/>
      <c r="I233" s="5">
        <f>(Materiais[[#This Row],[Qtde.]]*Materiais[[#This Row],[Custo Unitário
Sem Tributos (R$)]])</f>
        <v>0</v>
      </c>
      <c r="J233" s="92">
        <v>0</v>
      </c>
      <c r="K233" s="140">
        <f>Materiais[[#This Row],[Custo Total
Sem Tributos (R$)]]*Materiais[[#This Row],[IPI
(%)]]+Materiais[[#This Row],[Custo Total
Sem Tributos (R$)]]</f>
        <v>0</v>
      </c>
      <c r="L233" s="92">
        <v>0.1</v>
      </c>
      <c r="M233" s="76">
        <f>Materiais[[#This Row],[Custo Total
Com IPI (R$)]]/(1-Materiais[[#This Row],[Margem
(%)]])</f>
        <v>0</v>
      </c>
      <c r="N233" s="16">
        <f>Materiais[[#This Row],[Valor Venda c/ Potencial Desconto  em Material (R$)]]-Materiais[[#This Row],[Custo Total
Com IPI (R$)]]</f>
        <v>0</v>
      </c>
      <c r="O233" s="93">
        <f>Materiais[[#This Row],[Valor Total
Com Margem
Sem Tributos   (R$)]]/(1-('Valores Finais'!$C$10))</f>
        <v>0</v>
      </c>
      <c r="P233" s="93">
        <f>Materiais[[#This Row],[Valor Venda c/ Potencial Desconto  em Material (R$)]]/(1-('Valores Finais'!$B$6))</f>
        <v>0</v>
      </c>
      <c r="Q233" s="84">
        <f>'Valores Finais'!$B$10</f>
        <v>0.12</v>
      </c>
      <c r="R233" s="76">
        <f>Materiais[[#This Row],[Valor Venda c/ Comissões (R$)]]/(1-Materiais[[#This Row],[Tributos
(%)]])-Materiais[[#This Row],[Valor Venda c/ Comissões (R$)]]</f>
        <v>0</v>
      </c>
      <c r="S233" s="76">
        <f>Materiais[[#This Row],[Valor Venda c/ Comissões (R$)]]+Materiais[[#This Row],[Tributos
(R$)]]</f>
        <v>0</v>
      </c>
      <c r="T233" s="185"/>
      <c r="U233" s="186">
        <f ca="1">IF(Materiais[[#This Row],[Data Update]] = "",0,IF(_xlfn.DAYS(NOW(),Materiais[[#This Row],[Data Update]])&lt;=0,0,_xlfn.DAYS(NOW(),Materiais[[#This Row],[Data Update]])))</f>
        <v>0</v>
      </c>
    </row>
    <row r="234" spans="1:21" x14ac:dyDescent="0.2">
      <c r="A234" s="46"/>
      <c r="B234" s="46"/>
      <c r="C234" s="46"/>
      <c r="D234" s="46"/>
      <c r="E234" s="46"/>
      <c r="F234" s="138"/>
      <c r="G234" s="129"/>
      <c r="H234" s="180"/>
      <c r="I234" s="5">
        <f>(Materiais[[#This Row],[Qtde.]]*Materiais[[#This Row],[Custo Unitário
Sem Tributos (R$)]])</f>
        <v>0</v>
      </c>
      <c r="J234" s="92">
        <v>0</v>
      </c>
      <c r="K234" s="140">
        <f>Materiais[[#This Row],[Custo Total
Sem Tributos (R$)]]*Materiais[[#This Row],[IPI
(%)]]+Materiais[[#This Row],[Custo Total
Sem Tributos (R$)]]</f>
        <v>0</v>
      </c>
      <c r="L234" s="92">
        <v>0.1</v>
      </c>
      <c r="M234" s="76">
        <f>Materiais[[#This Row],[Custo Total
Com IPI (R$)]]/(1-Materiais[[#This Row],[Margem
(%)]])</f>
        <v>0</v>
      </c>
      <c r="N234" s="16">
        <f>Materiais[[#This Row],[Valor Venda c/ Potencial Desconto  em Material (R$)]]-Materiais[[#This Row],[Custo Total
Com IPI (R$)]]</f>
        <v>0</v>
      </c>
      <c r="O234" s="93">
        <f>Materiais[[#This Row],[Valor Total
Com Margem
Sem Tributos   (R$)]]/(1-('Valores Finais'!$C$10))</f>
        <v>0</v>
      </c>
      <c r="P234" s="93">
        <f>Materiais[[#This Row],[Valor Venda c/ Potencial Desconto  em Material (R$)]]/(1-('Valores Finais'!$B$6))</f>
        <v>0</v>
      </c>
      <c r="Q234" s="84">
        <f>'Valores Finais'!$B$10</f>
        <v>0.12</v>
      </c>
      <c r="R234" s="76">
        <f>Materiais[[#This Row],[Valor Venda c/ Comissões (R$)]]/(1-Materiais[[#This Row],[Tributos
(%)]])-Materiais[[#This Row],[Valor Venda c/ Comissões (R$)]]</f>
        <v>0</v>
      </c>
      <c r="S234" s="76">
        <f>Materiais[[#This Row],[Valor Venda c/ Comissões (R$)]]+Materiais[[#This Row],[Tributos
(R$)]]</f>
        <v>0</v>
      </c>
      <c r="T234" s="185"/>
      <c r="U234" s="186">
        <f ca="1">IF(Materiais[[#This Row],[Data Update]] = "",0,IF(_xlfn.DAYS(NOW(),Materiais[[#This Row],[Data Update]])&lt;=0,0,_xlfn.DAYS(NOW(),Materiais[[#This Row],[Data Update]])))</f>
        <v>0</v>
      </c>
    </row>
    <row r="235" spans="1:21" x14ac:dyDescent="0.2">
      <c r="A235" s="46"/>
      <c r="B235" s="46"/>
      <c r="C235" s="46"/>
      <c r="D235" s="46"/>
      <c r="E235" s="46"/>
      <c r="F235" s="138"/>
      <c r="G235" s="129"/>
      <c r="H235" s="180"/>
      <c r="I235" s="5">
        <f>(Materiais[[#This Row],[Qtde.]]*Materiais[[#This Row],[Custo Unitário
Sem Tributos (R$)]])</f>
        <v>0</v>
      </c>
      <c r="J235" s="92">
        <v>0</v>
      </c>
      <c r="K235" s="140">
        <f>Materiais[[#This Row],[Custo Total
Sem Tributos (R$)]]*Materiais[[#This Row],[IPI
(%)]]+Materiais[[#This Row],[Custo Total
Sem Tributos (R$)]]</f>
        <v>0</v>
      </c>
      <c r="L235" s="92">
        <v>0.1</v>
      </c>
      <c r="M235" s="76">
        <f>Materiais[[#This Row],[Custo Total
Com IPI (R$)]]/(1-Materiais[[#This Row],[Margem
(%)]])</f>
        <v>0</v>
      </c>
      <c r="N235" s="16">
        <f>Materiais[[#This Row],[Valor Venda c/ Potencial Desconto  em Material (R$)]]-Materiais[[#This Row],[Custo Total
Com IPI (R$)]]</f>
        <v>0</v>
      </c>
      <c r="O235" s="93">
        <f>Materiais[[#This Row],[Valor Total
Com Margem
Sem Tributos   (R$)]]/(1-('Valores Finais'!$C$10))</f>
        <v>0</v>
      </c>
      <c r="P235" s="93">
        <f>Materiais[[#This Row],[Valor Venda c/ Potencial Desconto  em Material (R$)]]/(1-('Valores Finais'!$B$6))</f>
        <v>0</v>
      </c>
      <c r="Q235" s="84">
        <f>'Valores Finais'!$B$10</f>
        <v>0.12</v>
      </c>
      <c r="R235" s="76">
        <f>Materiais[[#This Row],[Valor Venda c/ Comissões (R$)]]/(1-Materiais[[#This Row],[Tributos
(%)]])-Materiais[[#This Row],[Valor Venda c/ Comissões (R$)]]</f>
        <v>0</v>
      </c>
      <c r="S235" s="76">
        <f>Materiais[[#This Row],[Valor Venda c/ Comissões (R$)]]+Materiais[[#This Row],[Tributos
(R$)]]</f>
        <v>0</v>
      </c>
      <c r="T235" s="185"/>
      <c r="U235" s="186">
        <f ca="1">IF(Materiais[[#This Row],[Data Update]] = "",0,IF(_xlfn.DAYS(NOW(),Materiais[[#This Row],[Data Update]])&lt;=0,0,_xlfn.DAYS(NOW(),Materiais[[#This Row],[Data Update]])))</f>
        <v>0</v>
      </c>
    </row>
    <row r="236" spans="1:21" x14ac:dyDescent="0.2">
      <c r="A236" s="46"/>
      <c r="B236" s="46"/>
      <c r="C236" s="46"/>
      <c r="D236" s="46"/>
      <c r="E236" s="46"/>
      <c r="F236" s="138"/>
      <c r="G236" s="129"/>
      <c r="H236" s="180"/>
      <c r="I236" s="5">
        <f>(Materiais[[#This Row],[Qtde.]]*Materiais[[#This Row],[Custo Unitário
Sem Tributos (R$)]])</f>
        <v>0</v>
      </c>
      <c r="J236" s="92">
        <v>0</v>
      </c>
      <c r="K236" s="140">
        <f>Materiais[[#This Row],[Custo Total
Sem Tributos (R$)]]*Materiais[[#This Row],[IPI
(%)]]+Materiais[[#This Row],[Custo Total
Sem Tributos (R$)]]</f>
        <v>0</v>
      </c>
      <c r="L236" s="92">
        <v>0.1</v>
      </c>
      <c r="M236" s="76">
        <f>Materiais[[#This Row],[Custo Total
Com IPI (R$)]]/(1-Materiais[[#This Row],[Margem
(%)]])</f>
        <v>0</v>
      </c>
      <c r="N236" s="16">
        <f>Materiais[[#This Row],[Valor Venda c/ Potencial Desconto  em Material (R$)]]-Materiais[[#This Row],[Custo Total
Com IPI (R$)]]</f>
        <v>0</v>
      </c>
      <c r="O236" s="93">
        <f>Materiais[[#This Row],[Valor Total
Com Margem
Sem Tributos   (R$)]]/(1-('Valores Finais'!$C$10))</f>
        <v>0</v>
      </c>
      <c r="P236" s="93">
        <f>Materiais[[#This Row],[Valor Venda c/ Potencial Desconto  em Material (R$)]]/(1-('Valores Finais'!$B$6))</f>
        <v>0</v>
      </c>
      <c r="Q236" s="84">
        <f>'Valores Finais'!$B$10</f>
        <v>0.12</v>
      </c>
      <c r="R236" s="76">
        <f>Materiais[[#This Row],[Valor Venda c/ Comissões (R$)]]/(1-Materiais[[#This Row],[Tributos
(%)]])-Materiais[[#This Row],[Valor Venda c/ Comissões (R$)]]</f>
        <v>0</v>
      </c>
      <c r="S236" s="76">
        <f>Materiais[[#This Row],[Valor Venda c/ Comissões (R$)]]+Materiais[[#This Row],[Tributos
(R$)]]</f>
        <v>0</v>
      </c>
      <c r="T236" s="185"/>
      <c r="U236" s="186">
        <f ca="1">IF(Materiais[[#This Row],[Data Update]] = "",0,IF(_xlfn.DAYS(NOW(),Materiais[[#This Row],[Data Update]])&lt;=0,0,_xlfn.DAYS(NOW(),Materiais[[#This Row],[Data Update]])))</f>
        <v>0</v>
      </c>
    </row>
    <row r="237" spans="1:21" x14ac:dyDescent="0.2">
      <c r="A237" s="46"/>
      <c r="B237" s="46"/>
      <c r="C237" s="46"/>
      <c r="D237" s="46"/>
      <c r="E237" s="46"/>
      <c r="F237" s="138"/>
      <c r="G237" s="129"/>
      <c r="H237" s="180"/>
      <c r="I237" s="5">
        <f>(Materiais[[#This Row],[Qtde.]]*Materiais[[#This Row],[Custo Unitário
Sem Tributos (R$)]])</f>
        <v>0</v>
      </c>
      <c r="J237" s="92">
        <v>0</v>
      </c>
      <c r="K237" s="140">
        <f>Materiais[[#This Row],[Custo Total
Sem Tributos (R$)]]*Materiais[[#This Row],[IPI
(%)]]+Materiais[[#This Row],[Custo Total
Sem Tributos (R$)]]</f>
        <v>0</v>
      </c>
      <c r="L237" s="92">
        <v>0.1</v>
      </c>
      <c r="M237" s="76">
        <f>Materiais[[#This Row],[Custo Total
Com IPI (R$)]]/(1-Materiais[[#This Row],[Margem
(%)]])</f>
        <v>0</v>
      </c>
      <c r="N237" s="16">
        <f>Materiais[[#This Row],[Valor Venda c/ Potencial Desconto  em Material (R$)]]-Materiais[[#This Row],[Custo Total
Com IPI (R$)]]</f>
        <v>0</v>
      </c>
      <c r="O237" s="93">
        <f>Materiais[[#This Row],[Valor Total
Com Margem
Sem Tributos   (R$)]]/(1-('Valores Finais'!$C$10))</f>
        <v>0</v>
      </c>
      <c r="P237" s="93">
        <f>Materiais[[#This Row],[Valor Venda c/ Potencial Desconto  em Material (R$)]]/(1-('Valores Finais'!$B$6))</f>
        <v>0</v>
      </c>
      <c r="Q237" s="84">
        <f>'Valores Finais'!$B$10</f>
        <v>0.12</v>
      </c>
      <c r="R237" s="76">
        <f>Materiais[[#This Row],[Valor Venda c/ Comissões (R$)]]/(1-Materiais[[#This Row],[Tributos
(%)]])-Materiais[[#This Row],[Valor Venda c/ Comissões (R$)]]</f>
        <v>0</v>
      </c>
      <c r="S237" s="76">
        <f>Materiais[[#This Row],[Valor Venda c/ Comissões (R$)]]+Materiais[[#This Row],[Tributos
(R$)]]</f>
        <v>0</v>
      </c>
      <c r="T237" s="185"/>
      <c r="U237" s="186">
        <f ca="1">IF(Materiais[[#This Row],[Data Update]] = "",0,IF(_xlfn.DAYS(NOW(),Materiais[[#This Row],[Data Update]])&lt;=0,0,_xlfn.DAYS(NOW(),Materiais[[#This Row],[Data Update]])))</f>
        <v>0</v>
      </c>
    </row>
    <row r="238" spans="1:21" x14ac:dyDescent="0.2">
      <c r="A238" s="46"/>
      <c r="B238" s="46"/>
      <c r="C238" s="46"/>
      <c r="D238" s="46"/>
      <c r="E238" s="46"/>
      <c r="F238" s="138"/>
      <c r="G238" s="129"/>
      <c r="H238" s="180"/>
      <c r="I238" s="5">
        <f>(Materiais[[#This Row],[Qtde.]]*Materiais[[#This Row],[Custo Unitário
Sem Tributos (R$)]])</f>
        <v>0</v>
      </c>
      <c r="J238" s="92">
        <v>0</v>
      </c>
      <c r="K238" s="140">
        <f>Materiais[[#This Row],[Custo Total
Sem Tributos (R$)]]*Materiais[[#This Row],[IPI
(%)]]+Materiais[[#This Row],[Custo Total
Sem Tributos (R$)]]</f>
        <v>0</v>
      </c>
      <c r="L238" s="92">
        <v>0.1</v>
      </c>
      <c r="M238" s="76">
        <f>Materiais[[#This Row],[Custo Total
Com IPI (R$)]]/(1-Materiais[[#This Row],[Margem
(%)]])</f>
        <v>0</v>
      </c>
      <c r="N238" s="16">
        <f>Materiais[[#This Row],[Valor Venda c/ Potencial Desconto  em Material (R$)]]-Materiais[[#This Row],[Custo Total
Com IPI (R$)]]</f>
        <v>0</v>
      </c>
      <c r="O238" s="93">
        <f>Materiais[[#This Row],[Valor Total
Com Margem
Sem Tributos   (R$)]]/(1-('Valores Finais'!$C$10))</f>
        <v>0</v>
      </c>
      <c r="P238" s="93">
        <f>Materiais[[#This Row],[Valor Venda c/ Potencial Desconto  em Material (R$)]]/(1-('Valores Finais'!$B$6))</f>
        <v>0</v>
      </c>
      <c r="Q238" s="84">
        <f>'Valores Finais'!$B$10</f>
        <v>0.12</v>
      </c>
      <c r="R238" s="76">
        <f>Materiais[[#This Row],[Valor Venda c/ Comissões (R$)]]/(1-Materiais[[#This Row],[Tributos
(%)]])-Materiais[[#This Row],[Valor Venda c/ Comissões (R$)]]</f>
        <v>0</v>
      </c>
      <c r="S238" s="76">
        <f>Materiais[[#This Row],[Valor Venda c/ Comissões (R$)]]+Materiais[[#This Row],[Tributos
(R$)]]</f>
        <v>0</v>
      </c>
      <c r="T238" s="185"/>
      <c r="U238" s="186">
        <f ca="1">IF(Materiais[[#This Row],[Data Update]] = "",0,IF(_xlfn.DAYS(NOW(),Materiais[[#This Row],[Data Update]])&lt;=0,0,_xlfn.DAYS(NOW(),Materiais[[#This Row],[Data Update]])))</f>
        <v>0</v>
      </c>
    </row>
    <row r="239" spans="1:21" x14ac:dyDescent="0.2">
      <c r="A239" s="46"/>
      <c r="B239" s="46"/>
      <c r="C239" s="46"/>
      <c r="D239" s="46"/>
      <c r="E239" s="46"/>
      <c r="F239" s="138"/>
      <c r="G239" s="129"/>
      <c r="H239" s="180"/>
      <c r="I239" s="5">
        <f>(Materiais[[#This Row],[Qtde.]]*Materiais[[#This Row],[Custo Unitário
Sem Tributos (R$)]])</f>
        <v>0</v>
      </c>
      <c r="J239" s="92">
        <v>0</v>
      </c>
      <c r="K239" s="140">
        <f>Materiais[[#This Row],[Custo Total
Sem Tributos (R$)]]*Materiais[[#This Row],[IPI
(%)]]+Materiais[[#This Row],[Custo Total
Sem Tributos (R$)]]</f>
        <v>0</v>
      </c>
      <c r="L239" s="92">
        <v>0.1</v>
      </c>
      <c r="M239" s="76">
        <f>Materiais[[#This Row],[Custo Total
Com IPI (R$)]]/(1-Materiais[[#This Row],[Margem
(%)]])</f>
        <v>0</v>
      </c>
      <c r="N239" s="16">
        <f>Materiais[[#This Row],[Valor Venda c/ Potencial Desconto  em Material (R$)]]-Materiais[[#This Row],[Custo Total
Com IPI (R$)]]</f>
        <v>0</v>
      </c>
      <c r="O239" s="93">
        <f>Materiais[[#This Row],[Valor Total
Com Margem
Sem Tributos   (R$)]]/(1-('Valores Finais'!$C$10))</f>
        <v>0</v>
      </c>
      <c r="P239" s="93">
        <f>Materiais[[#This Row],[Valor Venda c/ Potencial Desconto  em Material (R$)]]/(1-('Valores Finais'!$B$6))</f>
        <v>0</v>
      </c>
      <c r="Q239" s="84">
        <f>'Valores Finais'!$B$10</f>
        <v>0.12</v>
      </c>
      <c r="R239" s="76">
        <f>Materiais[[#This Row],[Valor Venda c/ Comissões (R$)]]/(1-Materiais[[#This Row],[Tributos
(%)]])-Materiais[[#This Row],[Valor Venda c/ Comissões (R$)]]</f>
        <v>0</v>
      </c>
      <c r="S239" s="76">
        <f>Materiais[[#This Row],[Valor Venda c/ Comissões (R$)]]+Materiais[[#This Row],[Tributos
(R$)]]</f>
        <v>0</v>
      </c>
      <c r="T239" s="185"/>
      <c r="U239" s="186">
        <f ca="1">IF(Materiais[[#This Row],[Data Update]] = "",0,IF(_xlfn.DAYS(NOW(),Materiais[[#This Row],[Data Update]])&lt;=0,0,_xlfn.DAYS(NOW(),Materiais[[#This Row],[Data Update]])))</f>
        <v>0</v>
      </c>
    </row>
    <row r="240" spans="1:21" x14ac:dyDescent="0.2">
      <c r="A240" s="46"/>
      <c r="B240" s="46"/>
      <c r="C240" s="46"/>
      <c r="D240" s="46"/>
      <c r="E240" s="46"/>
      <c r="F240" s="138"/>
      <c r="G240" s="129"/>
      <c r="H240" s="180"/>
      <c r="I240" s="5">
        <f>(Materiais[[#This Row],[Qtde.]]*Materiais[[#This Row],[Custo Unitário
Sem Tributos (R$)]])</f>
        <v>0</v>
      </c>
      <c r="J240" s="92">
        <v>0</v>
      </c>
      <c r="K240" s="140">
        <f>Materiais[[#This Row],[Custo Total
Sem Tributos (R$)]]*Materiais[[#This Row],[IPI
(%)]]+Materiais[[#This Row],[Custo Total
Sem Tributos (R$)]]</f>
        <v>0</v>
      </c>
      <c r="L240" s="92">
        <v>0.1</v>
      </c>
      <c r="M240" s="76">
        <f>Materiais[[#This Row],[Custo Total
Com IPI (R$)]]/(1-Materiais[[#This Row],[Margem
(%)]])</f>
        <v>0</v>
      </c>
      <c r="N240" s="16">
        <f>Materiais[[#This Row],[Valor Venda c/ Potencial Desconto  em Material (R$)]]-Materiais[[#This Row],[Custo Total
Com IPI (R$)]]</f>
        <v>0</v>
      </c>
      <c r="O240" s="93">
        <f>Materiais[[#This Row],[Valor Total
Com Margem
Sem Tributos   (R$)]]/(1-('Valores Finais'!$C$10))</f>
        <v>0</v>
      </c>
      <c r="P240" s="93">
        <f>Materiais[[#This Row],[Valor Venda c/ Potencial Desconto  em Material (R$)]]/(1-('Valores Finais'!$B$6))</f>
        <v>0</v>
      </c>
      <c r="Q240" s="84">
        <f>'Valores Finais'!$B$10</f>
        <v>0.12</v>
      </c>
      <c r="R240" s="76">
        <f>Materiais[[#This Row],[Valor Venda c/ Comissões (R$)]]/(1-Materiais[[#This Row],[Tributos
(%)]])-Materiais[[#This Row],[Valor Venda c/ Comissões (R$)]]</f>
        <v>0</v>
      </c>
      <c r="S240" s="76">
        <f>Materiais[[#This Row],[Valor Venda c/ Comissões (R$)]]+Materiais[[#This Row],[Tributos
(R$)]]</f>
        <v>0</v>
      </c>
      <c r="T240" s="185"/>
      <c r="U240" s="186">
        <f ca="1">IF(Materiais[[#This Row],[Data Update]] = "",0,IF(_xlfn.DAYS(NOW(),Materiais[[#This Row],[Data Update]])&lt;=0,0,_xlfn.DAYS(NOW(),Materiais[[#This Row],[Data Update]])))</f>
        <v>0</v>
      </c>
    </row>
    <row r="241" spans="1:21" x14ac:dyDescent="0.2">
      <c r="A241" s="46"/>
      <c r="B241" s="46"/>
      <c r="C241" s="46"/>
      <c r="D241" s="46"/>
      <c r="E241" s="46"/>
      <c r="F241" s="138"/>
      <c r="G241" s="129"/>
      <c r="H241" s="180"/>
      <c r="I241" s="5">
        <f>(Materiais[[#This Row],[Qtde.]]*Materiais[[#This Row],[Custo Unitário
Sem Tributos (R$)]])</f>
        <v>0</v>
      </c>
      <c r="J241" s="92">
        <v>0</v>
      </c>
      <c r="K241" s="140">
        <f>Materiais[[#This Row],[Custo Total
Sem Tributos (R$)]]*Materiais[[#This Row],[IPI
(%)]]+Materiais[[#This Row],[Custo Total
Sem Tributos (R$)]]</f>
        <v>0</v>
      </c>
      <c r="L241" s="92">
        <v>0.1</v>
      </c>
      <c r="M241" s="76">
        <f>Materiais[[#This Row],[Custo Total
Com IPI (R$)]]/(1-Materiais[[#This Row],[Margem
(%)]])</f>
        <v>0</v>
      </c>
      <c r="N241" s="16">
        <f>Materiais[[#This Row],[Valor Venda c/ Potencial Desconto  em Material (R$)]]-Materiais[[#This Row],[Custo Total
Com IPI (R$)]]</f>
        <v>0</v>
      </c>
      <c r="O241" s="93">
        <f>Materiais[[#This Row],[Valor Total
Com Margem
Sem Tributos   (R$)]]/(1-('Valores Finais'!$C$10))</f>
        <v>0</v>
      </c>
      <c r="P241" s="93">
        <f>Materiais[[#This Row],[Valor Venda c/ Potencial Desconto  em Material (R$)]]/(1-('Valores Finais'!$B$6))</f>
        <v>0</v>
      </c>
      <c r="Q241" s="84">
        <f>'Valores Finais'!$B$10</f>
        <v>0.12</v>
      </c>
      <c r="R241" s="76">
        <f>Materiais[[#This Row],[Valor Venda c/ Comissões (R$)]]/(1-Materiais[[#This Row],[Tributos
(%)]])-Materiais[[#This Row],[Valor Venda c/ Comissões (R$)]]</f>
        <v>0</v>
      </c>
      <c r="S241" s="76">
        <f>Materiais[[#This Row],[Valor Venda c/ Comissões (R$)]]+Materiais[[#This Row],[Tributos
(R$)]]</f>
        <v>0</v>
      </c>
      <c r="T241" s="185"/>
      <c r="U241" s="186">
        <f ca="1">IF(Materiais[[#This Row],[Data Update]] = "",0,IF(_xlfn.DAYS(NOW(),Materiais[[#This Row],[Data Update]])&lt;=0,0,_xlfn.DAYS(NOW(),Materiais[[#This Row],[Data Update]])))</f>
        <v>0</v>
      </c>
    </row>
    <row r="242" spans="1:21" x14ac:dyDescent="0.2">
      <c r="A242" s="46"/>
      <c r="B242" s="46"/>
      <c r="C242" s="46"/>
      <c r="D242" s="46"/>
      <c r="E242" s="46"/>
      <c r="F242" s="138"/>
      <c r="G242" s="129"/>
      <c r="H242" s="180"/>
      <c r="I242" s="5">
        <f>(Materiais[[#This Row],[Qtde.]]*Materiais[[#This Row],[Custo Unitário
Sem Tributos (R$)]])</f>
        <v>0</v>
      </c>
      <c r="J242" s="92">
        <v>0</v>
      </c>
      <c r="K242" s="140">
        <f>Materiais[[#This Row],[Custo Total
Sem Tributos (R$)]]*Materiais[[#This Row],[IPI
(%)]]+Materiais[[#This Row],[Custo Total
Sem Tributos (R$)]]</f>
        <v>0</v>
      </c>
      <c r="L242" s="92">
        <v>0.1</v>
      </c>
      <c r="M242" s="76">
        <f>Materiais[[#This Row],[Custo Total
Com IPI (R$)]]/(1-Materiais[[#This Row],[Margem
(%)]])</f>
        <v>0</v>
      </c>
      <c r="N242" s="16">
        <f>Materiais[[#This Row],[Valor Venda c/ Potencial Desconto  em Material (R$)]]-Materiais[[#This Row],[Custo Total
Com IPI (R$)]]</f>
        <v>0</v>
      </c>
      <c r="O242" s="93">
        <f>Materiais[[#This Row],[Valor Total
Com Margem
Sem Tributos   (R$)]]/(1-('Valores Finais'!$C$10))</f>
        <v>0</v>
      </c>
      <c r="P242" s="93">
        <f>Materiais[[#This Row],[Valor Venda c/ Potencial Desconto  em Material (R$)]]/(1-('Valores Finais'!$B$6))</f>
        <v>0</v>
      </c>
      <c r="Q242" s="84">
        <f>'Valores Finais'!$B$10</f>
        <v>0.12</v>
      </c>
      <c r="R242" s="76">
        <f>Materiais[[#This Row],[Valor Venda c/ Comissões (R$)]]/(1-Materiais[[#This Row],[Tributos
(%)]])-Materiais[[#This Row],[Valor Venda c/ Comissões (R$)]]</f>
        <v>0</v>
      </c>
      <c r="S242" s="76">
        <f>Materiais[[#This Row],[Valor Venda c/ Comissões (R$)]]+Materiais[[#This Row],[Tributos
(R$)]]</f>
        <v>0</v>
      </c>
      <c r="T242" s="185"/>
      <c r="U242" s="186">
        <f ca="1">IF(Materiais[[#This Row],[Data Update]] = "",0,IF(_xlfn.DAYS(NOW(),Materiais[[#This Row],[Data Update]])&lt;=0,0,_xlfn.DAYS(NOW(),Materiais[[#This Row],[Data Update]])))</f>
        <v>0</v>
      </c>
    </row>
    <row r="243" spans="1:21" x14ac:dyDescent="0.2">
      <c r="A243" s="46"/>
      <c r="B243" s="46"/>
      <c r="C243" s="46"/>
      <c r="D243" s="46"/>
      <c r="E243" s="46"/>
      <c r="F243" s="138"/>
      <c r="G243" s="129"/>
      <c r="H243" s="180"/>
      <c r="I243" s="5">
        <f>(Materiais[[#This Row],[Qtde.]]*Materiais[[#This Row],[Custo Unitário
Sem Tributos (R$)]])</f>
        <v>0</v>
      </c>
      <c r="J243" s="92">
        <v>0</v>
      </c>
      <c r="K243" s="140">
        <f>Materiais[[#This Row],[Custo Total
Sem Tributos (R$)]]*Materiais[[#This Row],[IPI
(%)]]+Materiais[[#This Row],[Custo Total
Sem Tributos (R$)]]</f>
        <v>0</v>
      </c>
      <c r="L243" s="92">
        <v>0.1</v>
      </c>
      <c r="M243" s="76">
        <f>Materiais[[#This Row],[Custo Total
Com IPI (R$)]]/(1-Materiais[[#This Row],[Margem
(%)]])</f>
        <v>0</v>
      </c>
      <c r="N243" s="16">
        <f>Materiais[[#This Row],[Valor Venda c/ Potencial Desconto  em Material (R$)]]-Materiais[[#This Row],[Custo Total
Com IPI (R$)]]</f>
        <v>0</v>
      </c>
      <c r="O243" s="93">
        <f>Materiais[[#This Row],[Valor Total
Com Margem
Sem Tributos   (R$)]]/(1-('Valores Finais'!$C$10))</f>
        <v>0</v>
      </c>
      <c r="P243" s="93">
        <f>Materiais[[#This Row],[Valor Venda c/ Potencial Desconto  em Material (R$)]]/(1-('Valores Finais'!$B$6))</f>
        <v>0</v>
      </c>
      <c r="Q243" s="84">
        <f>'Valores Finais'!$B$10</f>
        <v>0.12</v>
      </c>
      <c r="R243" s="76">
        <f>Materiais[[#This Row],[Valor Venda c/ Comissões (R$)]]/(1-Materiais[[#This Row],[Tributos
(%)]])-Materiais[[#This Row],[Valor Venda c/ Comissões (R$)]]</f>
        <v>0</v>
      </c>
      <c r="S243" s="76">
        <f>Materiais[[#This Row],[Valor Venda c/ Comissões (R$)]]+Materiais[[#This Row],[Tributos
(R$)]]</f>
        <v>0</v>
      </c>
      <c r="T243" s="185"/>
      <c r="U243" s="186">
        <f ca="1">IF(Materiais[[#This Row],[Data Update]] = "",0,IF(_xlfn.DAYS(NOW(),Materiais[[#This Row],[Data Update]])&lt;=0,0,_xlfn.DAYS(NOW(),Materiais[[#This Row],[Data Update]])))</f>
        <v>0</v>
      </c>
    </row>
    <row r="244" spans="1:21" x14ac:dyDescent="0.2">
      <c r="A244" s="46"/>
      <c r="B244" s="46"/>
      <c r="C244" s="46"/>
      <c r="D244" s="46"/>
      <c r="E244" s="46"/>
      <c r="F244" s="138"/>
      <c r="G244" s="129"/>
      <c r="H244" s="180"/>
      <c r="I244" s="5">
        <f>(Materiais[[#This Row],[Qtde.]]*Materiais[[#This Row],[Custo Unitário
Sem Tributos (R$)]])</f>
        <v>0</v>
      </c>
      <c r="J244" s="92">
        <v>0</v>
      </c>
      <c r="K244" s="140">
        <f>Materiais[[#This Row],[Custo Total
Sem Tributos (R$)]]*Materiais[[#This Row],[IPI
(%)]]+Materiais[[#This Row],[Custo Total
Sem Tributos (R$)]]</f>
        <v>0</v>
      </c>
      <c r="L244" s="92">
        <v>0.1</v>
      </c>
      <c r="M244" s="76">
        <f>Materiais[[#This Row],[Custo Total
Com IPI (R$)]]/(1-Materiais[[#This Row],[Margem
(%)]])</f>
        <v>0</v>
      </c>
      <c r="N244" s="16">
        <f>Materiais[[#This Row],[Valor Venda c/ Potencial Desconto  em Material (R$)]]-Materiais[[#This Row],[Custo Total
Com IPI (R$)]]</f>
        <v>0</v>
      </c>
      <c r="O244" s="93">
        <f>Materiais[[#This Row],[Valor Total
Com Margem
Sem Tributos   (R$)]]/(1-('Valores Finais'!$C$10))</f>
        <v>0</v>
      </c>
      <c r="P244" s="93">
        <f>Materiais[[#This Row],[Valor Venda c/ Potencial Desconto  em Material (R$)]]/(1-('Valores Finais'!$B$6))</f>
        <v>0</v>
      </c>
      <c r="Q244" s="84">
        <f>'Valores Finais'!$B$10</f>
        <v>0.12</v>
      </c>
      <c r="R244" s="76">
        <f>Materiais[[#This Row],[Valor Venda c/ Comissões (R$)]]/(1-Materiais[[#This Row],[Tributos
(%)]])-Materiais[[#This Row],[Valor Venda c/ Comissões (R$)]]</f>
        <v>0</v>
      </c>
      <c r="S244" s="76">
        <f>Materiais[[#This Row],[Valor Venda c/ Comissões (R$)]]+Materiais[[#This Row],[Tributos
(R$)]]</f>
        <v>0</v>
      </c>
      <c r="T244" s="185"/>
      <c r="U244" s="186">
        <f ca="1">IF(Materiais[[#This Row],[Data Update]] = "",0,IF(_xlfn.DAYS(NOW(),Materiais[[#This Row],[Data Update]])&lt;=0,0,_xlfn.DAYS(NOW(),Materiais[[#This Row],[Data Update]])))</f>
        <v>0</v>
      </c>
    </row>
    <row r="245" spans="1:21" x14ac:dyDescent="0.2">
      <c r="A245" s="46"/>
      <c r="B245" s="46"/>
      <c r="C245" s="46"/>
      <c r="D245" s="46"/>
      <c r="E245" s="46"/>
      <c r="F245" s="138"/>
      <c r="G245" s="129"/>
      <c r="H245" s="180"/>
      <c r="I245" s="5">
        <f>(Materiais[[#This Row],[Qtde.]]*Materiais[[#This Row],[Custo Unitário
Sem Tributos (R$)]])</f>
        <v>0</v>
      </c>
      <c r="J245" s="92">
        <v>0</v>
      </c>
      <c r="K245" s="140">
        <f>Materiais[[#This Row],[Custo Total
Sem Tributos (R$)]]*Materiais[[#This Row],[IPI
(%)]]+Materiais[[#This Row],[Custo Total
Sem Tributos (R$)]]</f>
        <v>0</v>
      </c>
      <c r="L245" s="92">
        <v>0.1</v>
      </c>
      <c r="M245" s="76">
        <f>Materiais[[#This Row],[Custo Total
Com IPI (R$)]]/(1-Materiais[[#This Row],[Margem
(%)]])</f>
        <v>0</v>
      </c>
      <c r="N245" s="16">
        <f>Materiais[[#This Row],[Valor Venda c/ Potencial Desconto  em Material (R$)]]-Materiais[[#This Row],[Custo Total
Com IPI (R$)]]</f>
        <v>0</v>
      </c>
      <c r="O245" s="93">
        <f>Materiais[[#This Row],[Valor Total
Com Margem
Sem Tributos   (R$)]]/(1-('Valores Finais'!$C$10))</f>
        <v>0</v>
      </c>
      <c r="P245" s="93">
        <f>Materiais[[#This Row],[Valor Venda c/ Potencial Desconto  em Material (R$)]]/(1-('Valores Finais'!$B$6))</f>
        <v>0</v>
      </c>
      <c r="Q245" s="84">
        <f>'Valores Finais'!$B$10</f>
        <v>0.12</v>
      </c>
      <c r="R245" s="76">
        <f>Materiais[[#This Row],[Valor Venda c/ Comissões (R$)]]/(1-Materiais[[#This Row],[Tributos
(%)]])-Materiais[[#This Row],[Valor Venda c/ Comissões (R$)]]</f>
        <v>0</v>
      </c>
      <c r="S245" s="76">
        <f>Materiais[[#This Row],[Valor Venda c/ Comissões (R$)]]+Materiais[[#This Row],[Tributos
(R$)]]</f>
        <v>0</v>
      </c>
      <c r="T245" s="185"/>
      <c r="U245" s="186">
        <f ca="1">IF(Materiais[[#This Row],[Data Update]] = "",0,IF(_xlfn.DAYS(NOW(),Materiais[[#This Row],[Data Update]])&lt;=0,0,_xlfn.DAYS(NOW(),Materiais[[#This Row],[Data Update]])))</f>
        <v>0</v>
      </c>
    </row>
    <row r="246" spans="1:21" x14ac:dyDescent="0.2">
      <c r="A246" s="46"/>
      <c r="B246" s="46"/>
      <c r="C246" s="46"/>
      <c r="D246" s="46"/>
      <c r="E246" s="46"/>
      <c r="F246" s="138"/>
      <c r="G246" s="129"/>
      <c r="H246" s="180"/>
      <c r="I246" s="5">
        <f>(Materiais[[#This Row],[Qtde.]]*Materiais[[#This Row],[Custo Unitário
Sem Tributos (R$)]])</f>
        <v>0</v>
      </c>
      <c r="J246" s="92">
        <v>0</v>
      </c>
      <c r="K246" s="140">
        <f>Materiais[[#This Row],[Custo Total
Sem Tributos (R$)]]*Materiais[[#This Row],[IPI
(%)]]+Materiais[[#This Row],[Custo Total
Sem Tributos (R$)]]</f>
        <v>0</v>
      </c>
      <c r="L246" s="92">
        <v>0.1</v>
      </c>
      <c r="M246" s="76">
        <f>Materiais[[#This Row],[Custo Total
Com IPI (R$)]]/(1-Materiais[[#This Row],[Margem
(%)]])</f>
        <v>0</v>
      </c>
      <c r="N246" s="16">
        <f>Materiais[[#This Row],[Valor Venda c/ Potencial Desconto  em Material (R$)]]-Materiais[[#This Row],[Custo Total
Com IPI (R$)]]</f>
        <v>0</v>
      </c>
      <c r="O246" s="93">
        <f>Materiais[[#This Row],[Valor Total
Com Margem
Sem Tributos   (R$)]]/(1-('Valores Finais'!$C$10))</f>
        <v>0</v>
      </c>
      <c r="P246" s="93">
        <f>Materiais[[#This Row],[Valor Venda c/ Potencial Desconto  em Material (R$)]]/(1-('Valores Finais'!$B$6))</f>
        <v>0</v>
      </c>
      <c r="Q246" s="84">
        <f>'Valores Finais'!$B$10</f>
        <v>0.12</v>
      </c>
      <c r="R246" s="76">
        <f>Materiais[[#This Row],[Valor Venda c/ Comissões (R$)]]/(1-Materiais[[#This Row],[Tributos
(%)]])-Materiais[[#This Row],[Valor Venda c/ Comissões (R$)]]</f>
        <v>0</v>
      </c>
      <c r="S246" s="76">
        <f>Materiais[[#This Row],[Valor Venda c/ Comissões (R$)]]+Materiais[[#This Row],[Tributos
(R$)]]</f>
        <v>0</v>
      </c>
      <c r="T246" s="185"/>
      <c r="U246" s="186">
        <f ca="1">IF(Materiais[[#This Row],[Data Update]] = "",0,IF(_xlfn.DAYS(NOW(),Materiais[[#This Row],[Data Update]])&lt;=0,0,_xlfn.DAYS(NOW(),Materiais[[#This Row],[Data Update]])))</f>
        <v>0</v>
      </c>
    </row>
    <row r="247" spans="1:21" x14ac:dyDescent="0.2">
      <c r="A247" s="46"/>
      <c r="B247" s="46"/>
      <c r="C247" s="46"/>
      <c r="D247" s="46"/>
      <c r="E247" s="46"/>
      <c r="F247" s="138"/>
      <c r="G247" s="129"/>
      <c r="H247" s="180"/>
      <c r="I247" s="5">
        <f>(Materiais[[#This Row],[Qtde.]]*Materiais[[#This Row],[Custo Unitário
Sem Tributos (R$)]])</f>
        <v>0</v>
      </c>
      <c r="J247" s="92">
        <v>0</v>
      </c>
      <c r="K247" s="140">
        <f>Materiais[[#This Row],[Custo Total
Sem Tributos (R$)]]*Materiais[[#This Row],[IPI
(%)]]+Materiais[[#This Row],[Custo Total
Sem Tributos (R$)]]</f>
        <v>0</v>
      </c>
      <c r="L247" s="92">
        <v>0.1</v>
      </c>
      <c r="M247" s="76">
        <f>Materiais[[#This Row],[Custo Total
Com IPI (R$)]]/(1-Materiais[[#This Row],[Margem
(%)]])</f>
        <v>0</v>
      </c>
      <c r="N247" s="16">
        <f>Materiais[[#This Row],[Valor Venda c/ Potencial Desconto  em Material (R$)]]-Materiais[[#This Row],[Custo Total
Com IPI (R$)]]</f>
        <v>0</v>
      </c>
      <c r="O247" s="93">
        <f>Materiais[[#This Row],[Valor Total
Com Margem
Sem Tributos   (R$)]]/(1-('Valores Finais'!$C$10))</f>
        <v>0</v>
      </c>
      <c r="P247" s="93">
        <f>Materiais[[#This Row],[Valor Venda c/ Potencial Desconto  em Material (R$)]]/(1-('Valores Finais'!$B$6))</f>
        <v>0</v>
      </c>
      <c r="Q247" s="84">
        <f>'Valores Finais'!$B$10</f>
        <v>0.12</v>
      </c>
      <c r="R247" s="76">
        <f>Materiais[[#This Row],[Valor Venda c/ Comissões (R$)]]/(1-Materiais[[#This Row],[Tributos
(%)]])-Materiais[[#This Row],[Valor Venda c/ Comissões (R$)]]</f>
        <v>0</v>
      </c>
      <c r="S247" s="76">
        <f>Materiais[[#This Row],[Valor Venda c/ Comissões (R$)]]+Materiais[[#This Row],[Tributos
(R$)]]</f>
        <v>0</v>
      </c>
      <c r="T247" s="185"/>
      <c r="U247" s="186">
        <f ca="1">IF(Materiais[[#This Row],[Data Update]] = "",0,IF(_xlfn.DAYS(NOW(),Materiais[[#This Row],[Data Update]])&lt;=0,0,_xlfn.DAYS(NOW(),Materiais[[#This Row],[Data Update]])))</f>
        <v>0</v>
      </c>
    </row>
    <row r="248" spans="1:21" x14ac:dyDescent="0.2">
      <c r="A248" s="46"/>
      <c r="B248" s="46"/>
      <c r="C248" s="46"/>
      <c r="D248" s="46"/>
      <c r="E248" s="46"/>
      <c r="F248" s="138"/>
      <c r="G248" s="129"/>
      <c r="H248" s="180"/>
      <c r="I248" s="5">
        <f>(Materiais[[#This Row],[Qtde.]]*Materiais[[#This Row],[Custo Unitário
Sem Tributos (R$)]])</f>
        <v>0</v>
      </c>
      <c r="J248" s="92">
        <v>0</v>
      </c>
      <c r="K248" s="140">
        <f>Materiais[[#This Row],[Custo Total
Sem Tributos (R$)]]*Materiais[[#This Row],[IPI
(%)]]+Materiais[[#This Row],[Custo Total
Sem Tributos (R$)]]</f>
        <v>0</v>
      </c>
      <c r="L248" s="92">
        <v>0.1</v>
      </c>
      <c r="M248" s="76">
        <f>Materiais[[#This Row],[Custo Total
Com IPI (R$)]]/(1-Materiais[[#This Row],[Margem
(%)]])</f>
        <v>0</v>
      </c>
      <c r="N248" s="16">
        <f>Materiais[[#This Row],[Valor Venda c/ Potencial Desconto  em Material (R$)]]-Materiais[[#This Row],[Custo Total
Com IPI (R$)]]</f>
        <v>0</v>
      </c>
      <c r="O248" s="93">
        <f>Materiais[[#This Row],[Valor Total
Com Margem
Sem Tributos   (R$)]]/(1-('Valores Finais'!$C$10))</f>
        <v>0</v>
      </c>
      <c r="P248" s="93">
        <f>Materiais[[#This Row],[Valor Venda c/ Potencial Desconto  em Material (R$)]]/(1-('Valores Finais'!$B$6))</f>
        <v>0</v>
      </c>
      <c r="Q248" s="84">
        <f>'Valores Finais'!$B$10</f>
        <v>0.12</v>
      </c>
      <c r="R248" s="76">
        <f>Materiais[[#This Row],[Valor Venda c/ Comissões (R$)]]/(1-Materiais[[#This Row],[Tributos
(%)]])-Materiais[[#This Row],[Valor Venda c/ Comissões (R$)]]</f>
        <v>0</v>
      </c>
      <c r="S248" s="76">
        <f>Materiais[[#This Row],[Valor Venda c/ Comissões (R$)]]+Materiais[[#This Row],[Tributos
(R$)]]</f>
        <v>0</v>
      </c>
      <c r="T248" s="185"/>
      <c r="U248" s="186">
        <f ca="1">IF(Materiais[[#This Row],[Data Update]] = "",0,IF(_xlfn.DAYS(NOW(),Materiais[[#This Row],[Data Update]])&lt;=0,0,_xlfn.DAYS(NOW(),Materiais[[#This Row],[Data Update]])))</f>
        <v>0</v>
      </c>
    </row>
    <row r="249" spans="1:21" x14ac:dyDescent="0.2">
      <c r="A249" s="46"/>
      <c r="B249" s="46"/>
      <c r="C249" s="46"/>
      <c r="D249" s="46"/>
      <c r="E249" s="46"/>
      <c r="F249" s="138"/>
      <c r="G249" s="129"/>
      <c r="H249" s="180"/>
      <c r="I249" s="5">
        <f>(Materiais[[#This Row],[Qtde.]]*Materiais[[#This Row],[Custo Unitário
Sem Tributos (R$)]])</f>
        <v>0</v>
      </c>
      <c r="J249" s="92">
        <v>0</v>
      </c>
      <c r="K249" s="140">
        <f>Materiais[[#This Row],[Custo Total
Sem Tributos (R$)]]*Materiais[[#This Row],[IPI
(%)]]+Materiais[[#This Row],[Custo Total
Sem Tributos (R$)]]</f>
        <v>0</v>
      </c>
      <c r="L249" s="92">
        <v>0.1</v>
      </c>
      <c r="M249" s="76">
        <f>Materiais[[#This Row],[Custo Total
Com IPI (R$)]]/(1-Materiais[[#This Row],[Margem
(%)]])</f>
        <v>0</v>
      </c>
      <c r="N249" s="16">
        <f>Materiais[[#This Row],[Valor Venda c/ Potencial Desconto  em Material (R$)]]-Materiais[[#This Row],[Custo Total
Com IPI (R$)]]</f>
        <v>0</v>
      </c>
      <c r="O249" s="93">
        <f>Materiais[[#This Row],[Valor Total
Com Margem
Sem Tributos   (R$)]]/(1-('Valores Finais'!$C$10))</f>
        <v>0</v>
      </c>
      <c r="P249" s="93">
        <f>Materiais[[#This Row],[Valor Venda c/ Potencial Desconto  em Material (R$)]]/(1-('Valores Finais'!$B$6))</f>
        <v>0</v>
      </c>
      <c r="Q249" s="84">
        <f>'Valores Finais'!$B$10</f>
        <v>0.12</v>
      </c>
      <c r="R249" s="76">
        <f>Materiais[[#This Row],[Valor Venda c/ Comissões (R$)]]/(1-Materiais[[#This Row],[Tributos
(%)]])-Materiais[[#This Row],[Valor Venda c/ Comissões (R$)]]</f>
        <v>0</v>
      </c>
      <c r="S249" s="76">
        <f>Materiais[[#This Row],[Valor Venda c/ Comissões (R$)]]+Materiais[[#This Row],[Tributos
(R$)]]</f>
        <v>0</v>
      </c>
      <c r="T249" s="185"/>
      <c r="U249" s="186">
        <f ca="1">IF(Materiais[[#This Row],[Data Update]] = "",0,IF(_xlfn.DAYS(NOW(),Materiais[[#This Row],[Data Update]])&lt;=0,0,_xlfn.DAYS(NOW(),Materiais[[#This Row],[Data Update]])))</f>
        <v>0</v>
      </c>
    </row>
    <row r="250" spans="1:21" x14ac:dyDescent="0.2">
      <c r="A250" s="46"/>
      <c r="B250" s="46"/>
      <c r="C250" s="46"/>
      <c r="D250" s="46"/>
      <c r="E250" s="46"/>
      <c r="F250" s="138"/>
      <c r="G250" s="129"/>
      <c r="H250" s="180"/>
      <c r="I250" s="5">
        <f>(Materiais[[#This Row],[Qtde.]]*Materiais[[#This Row],[Custo Unitário
Sem Tributos (R$)]])</f>
        <v>0</v>
      </c>
      <c r="J250" s="92">
        <v>0</v>
      </c>
      <c r="K250" s="140">
        <f>Materiais[[#This Row],[Custo Total
Sem Tributos (R$)]]*Materiais[[#This Row],[IPI
(%)]]+Materiais[[#This Row],[Custo Total
Sem Tributos (R$)]]</f>
        <v>0</v>
      </c>
      <c r="L250" s="92">
        <v>0.1</v>
      </c>
      <c r="M250" s="76">
        <f>Materiais[[#This Row],[Custo Total
Com IPI (R$)]]/(1-Materiais[[#This Row],[Margem
(%)]])</f>
        <v>0</v>
      </c>
      <c r="N250" s="16">
        <f>Materiais[[#This Row],[Valor Venda c/ Potencial Desconto  em Material (R$)]]-Materiais[[#This Row],[Custo Total
Com IPI (R$)]]</f>
        <v>0</v>
      </c>
      <c r="O250" s="93">
        <f>Materiais[[#This Row],[Valor Total
Com Margem
Sem Tributos   (R$)]]/(1-('Valores Finais'!$C$10))</f>
        <v>0</v>
      </c>
      <c r="P250" s="93">
        <f>Materiais[[#This Row],[Valor Venda c/ Potencial Desconto  em Material (R$)]]/(1-('Valores Finais'!$B$6))</f>
        <v>0</v>
      </c>
      <c r="Q250" s="84">
        <f>'Valores Finais'!$B$10</f>
        <v>0.12</v>
      </c>
      <c r="R250" s="76">
        <f>Materiais[[#This Row],[Valor Venda c/ Comissões (R$)]]/(1-Materiais[[#This Row],[Tributos
(%)]])-Materiais[[#This Row],[Valor Venda c/ Comissões (R$)]]</f>
        <v>0</v>
      </c>
      <c r="S250" s="76">
        <f>Materiais[[#This Row],[Valor Venda c/ Comissões (R$)]]+Materiais[[#This Row],[Tributos
(R$)]]</f>
        <v>0</v>
      </c>
      <c r="T250" s="185"/>
      <c r="U250" s="186">
        <f ca="1">IF(Materiais[[#This Row],[Data Update]] = "",0,IF(_xlfn.DAYS(NOW(),Materiais[[#This Row],[Data Update]])&lt;=0,0,_xlfn.DAYS(NOW(),Materiais[[#This Row],[Data Update]])))</f>
        <v>0</v>
      </c>
    </row>
    <row r="251" spans="1:21" x14ac:dyDescent="0.2">
      <c r="A251" s="46"/>
      <c r="B251" s="46"/>
      <c r="C251" s="46"/>
      <c r="D251" s="46"/>
      <c r="E251" s="46"/>
      <c r="F251" s="138"/>
      <c r="G251" s="129"/>
      <c r="H251" s="180"/>
      <c r="I251" s="5">
        <f>(Materiais[[#This Row],[Qtde.]]*Materiais[[#This Row],[Custo Unitário
Sem Tributos (R$)]])</f>
        <v>0</v>
      </c>
      <c r="J251" s="92">
        <v>0</v>
      </c>
      <c r="K251" s="140">
        <f>Materiais[[#This Row],[Custo Total
Sem Tributos (R$)]]*Materiais[[#This Row],[IPI
(%)]]+Materiais[[#This Row],[Custo Total
Sem Tributos (R$)]]</f>
        <v>0</v>
      </c>
      <c r="L251" s="92">
        <v>0.1</v>
      </c>
      <c r="M251" s="76">
        <f>Materiais[[#This Row],[Custo Total
Com IPI (R$)]]/(1-Materiais[[#This Row],[Margem
(%)]])</f>
        <v>0</v>
      </c>
      <c r="N251" s="16">
        <f>Materiais[[#This Row],[Valor Venda c/ Potencial Desconto  em Material (R$)]]-Materiais[[#This Row],[Custo Total
Com IPI (R$)]]</f>
        <v>0</v>
      </c>
      <c r="O251" s="93">
        <f>Materiais[[#This Row],[Valor Total
Com Margem
Sem Tributos   (R$)]]/(1-('Valores Finais'!$C$10))</f>
        <v>0</v>
      </c>
      <c r="P251" s="93">
        <f>Materiais[[#This Row],[Valor Venda c/ Potencial Desconto  em Material (R$)]]/(1-('Valores Finais'!$B$6))</f>
        <v>0</v>
      </c>
      <c r="Q251" s="84">
        <f>'Valores Finais'!$B$10</f>
        <v>0.12</v>
      </c>
      <c r="R251" s="76">
        <f>Materiais[[#This Row],[Valor Venda c/ Comissões (R$)]]/(1-Materiais[[#This Row],[Tributos
(%)]])-Materiais[[#This Row],[Valor Venda c/ Comissões (R$)]]</f>
        <v>0</v>
      </c>
      <c r="S251" s="76">
        <f>Materiais[[#This Row],[Valor Venda c/ Comissões (R$)]]+Materiais[[#This Row],[Tributos
(R$)]]</f>
        <v>0</v>
      </c>
      <c r="T251" s="185"/>
      <c r="U251" s="186">
        <f ca="1">IF(Materiais[[#This Row],[Data Update]] = "",0,IF(_xlfn.DAYS(NOW(),Materiais[[#This Row],[Data Update]])&lt;=0,0,_xlfn.DAYS(NOW(),Materiais[[#This Row],[Data Update]])))</f>
        <v>0</v>
      </c>
    </row>
    <row r="252" spans="1:21" x14ac:dyDescent="0.2">
      <c r="A252" s="46"/>
      <c r="B252" s="46"/>
      <c r="C252" s="46"/>
      <c r="D252" s="46"/>
      <c r="E252" s="46"/>
      <c r="F252" s="138"/>
      <c r="G252" s="129"/>
      <c r="H252" s="180"/>
      <c r="I252" s="5">
        <f>(Materiais[[#This Row],[Qtde.]]*Materiais[[#This Row],[Custo Unitário
Sem Tributos (R$)]])</f>
        <v>0</v>
      </c>
      <c r="J252" s="92">
        <v>0</v>
      </c>
      <c r="K252" s="140">
        <f>Materiais[[#This Row],[Custo Total
Sem Tributos (R$)]]*Materiais[[#This Row],[IPI
(%)]]+Materiais[[#This Row],[Custo Total
Sem Tributos (R$)]]</f>
        <v>0</v>
      </c>
      <c r="L252" s="92">
        <v>0.1</v>
      </c>
      <c r="M252" s="76">
        <f>Materiais[[#This Row],[Custo Total
Com IPI (R$)]]/(1-Materiais[[#This Row],[Margem
(%)]])</f>
        <v>0</v>
      </c>
      <c r="N252" s="16">
        <f>Materiais[[#This Row],[Valor Venda c/ Potencial Desconto  em Material (R$)]]-Materiais[[#This Row],[Custo Total
Com IPI (R$)]]</f>
        <v>0</v>
      </c>
      <c r="O252" s="93">
        <f>Materiais[[#This Row],[Valor Total
Com Margem
Sem Tributos   (R$)]]/(1-('Valores Finais'!$C$10))</f>
        <v>0</v>
      </c>
      <c r="P252" s="93">
        <f>Materiais[[#This Row],[Valor Venda c/ Potencial Desconto  em Material (R$)]]/(1-('Valores Finais'!$B$6))</f>
        <v>0</v>
      </c>
      <c r="Q252" s="84">
        <f>'Valores Finais'!$B$10</f>
        <v>0.12</v>
      </c>
      <c r="R252" s="76">
        <f>Materiais[[#This Row],[Valor Venda c/ Comissões (R$)]]/(1-Materiais[[#This Row],[Tributos
(%)]])-Materiais[[#This Row],[Valor Venda c/ Comissões (R$)]]</f>
        <v>0</v>
      </c>
      <c r="S252" s="76">
        <f>Materiais[[#This Row],[Valor Venda c/ Comissões (R$)]]+Materiais[[#This Row],[Tributos
(R$)]]</f>
        <v>0</v>
      </c>
      <c r="T252" s="185"/>
      <c r="U252" s="186">
        <f ca="1">IF(Materiais[[#This Row],[Data Update]] = "",0,IF(_xlfn.DAYS(NOW(),Materiais[[#This Row],[Data Update]])&lt;=0,0,_xlfn.DAYS(NOW(),Materiais[[#This Row],[Data Update]])))</f>
        <v>0</v>
      </c>
    </row>
    <row r="253" spans="1:21" x14ac:dyDescent="0.2">
      <c r="A253" s="46"/>
      <c r="B253" s="46"/>
      <c r="C253" s="46"/>
      <c r="D253" s="46"/>
      <c r="E253" s="46"/>
      <c r="F253" s="138"/>
      <c r="G253" s="129"/>
      <c r="H253" s="180"/>
      <c r="I253" s="5">
        <f>(Materiais[[#This Row],[Qtde.]]*Materiais[[#This Row],[Custo Unitário
Sem Tributos (R$)]])</f>
        <v>0</v>
      </c>
      <c r="J253" s="92">
        <v>0</v>
      </c>
      <c r="K253" s="140">
        <f>Materiais[[#This Row],[Custo Total
Sem Tributos (R$)]]*Materiais[[#This Row],[IPI
(%)]]+Materiais[[#This Row],[Custo Total
Sem Tributos (R$)]]</f>
        <v>0</v>
      </c>
      <c r="L253" s="92">
        <v>0.1</v>
      </c>
      <c r="M253" s="76">
        <f>Materiais[[#This Row],[Custo Total
Com IPI (R$)]]/(1-Materiais[[#This Row],[Margem
(%)]])</f>
        <v>0</v>
      </c>
      <c r="N253" s="16">
        <f>Materiais[[#This Row],[Valor Venda c/ Potencial Desconto  em Material (R$)]]-Materiais[[#This Row],[Custo Total
Com IPI (R$)]]</f>
        <v>0</v>
      </c>
      <c r="O253" s="93">
        <f>Materiais[[#This Row],[Valor Total
Com Margem
Sem Tributos   (R$)]]/(1-('Valores Finais'!$C$10))</f>
        <v>0</v>
      </c>
      <c r="P253" s="93">
        <f>Materiais[[#This Row],[Valor Venda c/ Potencial Desconto  em Material (R$)]]/(1-('Valores Finais'!$B$6))</f>
        <v>0</v>
      </c>
      <c r="Q253" s="84">
        <f>'Valores Finais'!$B$10</f>
        <v>0.12</v>
      </c>
      <c r="R253" s="76">
        <f>Materiais[[#This Row],[Valor Venda c/ Comissões (R$)]]/(1-Materiais[[#This Row],[Tributos
(%)]])-Materiais[[#This Row],[Valor Venda c/ Comissões (R$)]]</f>
        <v>0</v>
      </c>
      <c r="S253" s="76">
        <f>Materiais[[#This Row],[Valor Venda c/ Comissões (R$)]]+Materiais[[#This Row],[Tributos
(R$)]]</f>
        <v>0</v>
      </c>
      <c r="T253" s="185"/>
      <c r="U253" s="186">
        <f ca="1">IF(Materiais[[#This Row],[Data Update]] = "",0,IF(_xlfn.DAYS(NOW(),Materiais[[#This Row],[Data Update]])&lt;=0,0,_xlfn.DAYS(NOW(),Materiais[[#This Row],[Data Update]])))</f>
        <v>0</v>
      </c>
    </row>
    <row r="254" spans="1:21" x14ac:dyDescent="0.2">
      <c r="A254" s="46"/>
      <c r="B254" s="46"/>
      <c r="C254" s="46"/>
      <c r="D254" s="46"/>
      <c r="E254" s="46"/>
      <c r="F254" s="138"/>
      <c r="G254" s="129"/>
      <c r="H254" s="180"/>
      <c r="I254" s="5">
        <f>(Materiais[[#This Row],[Qtde.]]*Materiais[[#This Row],[Custo Unitário
Sem Tributos (R$)]])</f>
        <v>0</v>
      </c>
      <c r="J254" s="92">
        <v>0</v>
      </c>
      <c r="K254" s="140">
        <f>Materiais[[#This Row],[Custo Total
Sem Tributos (R$)]]*Materiais[[#This Row],[IPI
(%)]]+Materiais[[#This Row],[Custo Total
Sem Tributos (R$)]]</f>
        <v>0</v>
      </c>
      <c r="L254" s="92">
        <v>0.1</v>
      </c>
      <c r="M254" s="76">
        <f>Materiais[[#This Row],[Custo Total
Com IPI (R$)]]/(1-Materiais[[#This Row],[Margem
(%)]])</f>
        <v>0</v>
      </c>
      <c r="N254" s="16">
        <f>Materiais[[#This Row],[Valor Venda c/ Potencial Desconto  em Material (R$)]]-Materiais[[#This Row],[Custo Total
Com IPI (R$)]]</f>
        <v>0</v>
      </c>
      <c r="O254" s="93">
        <f>Materiais[[#This Row],[Valor Total
Com Margem
Sem Tributos   (R$)]]/(1-('Valores Finais'!$C$10))</f>
        <v>0</v>
      </c>
      <c r="P254" s="93">
        <f>Materiais[[#This Row],[Valor Venda c/ Potencial Desconto  em Material (R$)]]/(1-('Valores Finais'!$B$6))</f>
        <v>0</v>
      </c>
      <c r="Q254" s="84">
        <f>'Valores Finais'!$B$10</f>
        <v>0.12</v>
      </c>
      <c r="R254" s="76">
        <f>Materiais[[#This Row],[Valor Venda c/ Comissões (R$)]]/(1-Materiais[[#This Row],[Tributos
(%)]])-Materiais[[#This Row],[Valor Venda c/ Comissões (R$)]]</f>
        <v>0</v>
      </c>
      <c r="S254" s="76">
        <f>Materiais[[#This Row],[Valor Venda c/ Comissões (R$)]]+Materiais[[#This Row],[Tributos
(R$)]]</f>
        <v>0</v>
      </c>
      <c r="T254" s="185"/>
      <c r="U254" s="186">
        <f ca="1">IF(Materiais[[#This Row],[Data Update]] = "",0,IF(_xlfn.DAYS(NOW(),Materiais[[#This Row],[Data Update]])&lt;=0,0,_xlfn.DAYS(NOW(),Materiais[[#This Row],[Data Update]])))</f>
        <v>0</v>
      </c>
    </row>
    <row r="255" spans="1:21" x14ac:dyDescent="0.2">
      <c r="A255" s="46"/>
      <c r="B255" s="46"/>
      <c r="C255" s="46"/>
      <c r="D255" s="46"/>
      <c r="E255" s="46"/>
      <c r="F255" s="138"/>
      <c r="G255" s="129"/>
      <c r="H255" s="180"/>
      <c r="I255" s="5">
        <f>(Materiais[[#This Row],[Qtde.]]*Materiais[[#This Row],[Custo Unitário
Sem Tributos (R$)]])</f>
        <v>0</v>
      </c>
      <c r="J255" s="92">
        <v>0</v>
      </c>
      <c r="K255" s="140">
        <f>Materiais[[#This Row],[Custo Total
Sem Tributos (R$)]]*Materiais[[#This Row],[IPI
(%)]]+Materiais[[#This Row],[Custo Total
Sem Tributos (R$)]]</f>
        <v>0</v>
      </c>
      <c r="L255" s="92">
        <v>0.1</v>
      </c>
      <c r="M255" s="76">
        <f>Materiais[[#This Row],[Custo Total
Com IPI (R$)]]/(1-Materiais[[#This Row],[Margem
(%)]])</f>
        <v>0</v>
      </c>
      <c r="N255" s="16">
        <f>Materiais[[#This Row],[Valor Venda c/ Potencial Desconto  em Material (R$)]]-Materiais[[#This Row],[Custo Total
Com IPI (R$)]]</f>
        <v>0</v>
      </c>
      <c r="O255" s="93">
        <f>Materiais[[#This Row],[Valor Total
Com Margem
Sem Tributos   (R$)]]/(1-('Valores Finais'!$C$10))</f>
        <v>0</v>
      </c>
      <c r="P255" s="93">
        <f>Materiais[[#This Row],[Valor Venda c/ Potencial Desconto  em Material (R$)]]/(1-('Valores Finais'!$B$6))</f>
        <v>0</v>
      </c>
      <c r="Q255" s="84">
        <f>'Valores Finais'!$B$10</f>
        <v>0.12</v>
      </c>
      <c r="R255" s="76">
        <f>Materiais[[#This Row],[Valor Venda c/ Comissões (R$)]]/(1-Materiais[[#This Row],[Tributos
(%)]])-Materiais[[#This Row],[Valor Venda c/ Comissões (R$)]]</f>
        <v>0</v>
      </c>
      <c r="S255" s="76">
        <f>Materiais[[#This Row],[Valor Venda c/ Comissões (R$)]]+Materiais[[#This Row],[Tributos
(R$)]]</f>
        <v>0</v>
      </c>
      <c r="T255" s="185"/>
      <c r="U255" s="186">
        <f ca="1">IF(Materiais[[#This Row],[Data Update]] = "",0,IF(_xlfn.DAYS(NOW(),Materiais[[#This Row],[Data Update]])&lt;=0,0,_xlfn.DAYS(NOW(),Materiais[[#This Row],[Data Update]])))</f>
        <v>0</v>
      </c>
    </row>
    <row r="256" spans="1:21" x14ac:dyDescent="0.2">
      <c r="A256" s="46"/>
      <c r="B256" s="46"/>
      <c r="C256" s="46"/>
      <c r="D256" s="46"/>
      <c r="E256" s="46"/>
      <c r="F256" s="138"/>
      <c r="G256" s="129"/>
      <c r="H256" s="180"/>
      <c r="I256" s="5">
        <f>(Materiais[[#This Row],[Qtde.]]*Materiais[[#This Row],[Custo Unitário
Sem Tributos (R$)]])</f>
        <v>0</v>
      </c>
      <c r="J256" s="92">
        <v>0</v>
      </c>
      <c r="K256" s="140">
        <f>Materiais[[#This Row],[Custo Total
Sem Tributos (R$)]]*Materiais[[#This Row],[IPI
(%)]]+Materiais[[#This Row],[Custo Total
Sem Tributos (R$)]]</f>
        <v>0</v>
      </c>
      <c r="L256" s="92">
        <v>0.1</v>
      </c>
      <c r="M256" s="76">
        <f>Materiais[[#This Row],[Custo Total
Com IPI (R$)]]/(1-Materiais[[#This Row],[Margem
(%)]])</f>
        <v>0</v>
      </c>
      <c r="N256" s="16">
        <f>Materiais[[#This Row],[Valor Venda c/ Potencial Desconto  em Material (R$)]]-Materiais[[#This Row],[Custo Total
Com IPI (R$)]]</f>
        <v>0</v>
      </c>
      <c r="O256" s="93">
        <f>Materiais[[#This Row],[Valor Total
Com Margem
Sem Tributos   (R$)]]/(1-('Valores Finais'!$C$10))</f>
        <v>0</v>
      </c>
      <c r="P256" s="93">
        <f>Materiais[[#This Row],[Valor Venda c/ Potencial Desconto  em Material (R$)]]/(1-('Valores Finais'!$B$6))</f>
        <v>0</v>
      </c>
      <c r="Q256" s="84">
        <f>'Valores Finais'!$B$10</f>
        <v>0.12</v>
      </c>
      <c r="R256" s="76">
        <f>Materiais[[#This Row],[Valor Venda c/ Comissões (R$)]]/(1-Materiais[[#This Row],[Tributos
(%)]])-Materiais[[#This Row],[Valor Venda c/ Comissões (R$)]]</f>
        <v>0</v>
      </c>
      <c r="S256" s="76">
        <f>Materiais[[#This Row],[Valor Venda c/ Comissões (R$)]]+Materiais[[#This Row],[Tributos
(R$)]]</f>
        <v>0</v>
      </c>
      <c r="T256" s="185"/>
      <c r="U256" s="186">
        <f ca="1">IF(Materiais[[#This Row],[Data Update]] = "",0,IF(_xlfn.DAYS(NOW(),Materiais[[#This Row],[Data Update]])&lt;=0,0,_xlfn.DAYS(NOW(),Materiais[[#This Row],[Data Update]])))</f>
        <v>0</v>
      </c>
    </row>
    <row r="257" spans="1:21" x14ac:dyDescent="0.2">
      <c r="A257" s="46"/>
      <c r="B257" s="46"/>
      <c r="C257" s="46"/>
      <c r="D257" s="46"/>
      <c r="E257" s="46"/>
      <c r="F257" s="138"/>
      <c r="G257" s="129"/>
      <c r="H257" s="180"/>
      <c r="I257" s="5">
        <f>(Materiais[[#This Row],[Qtde.]]*Materiais[[#This Row],[Custo Unitário
Sem Tributos (R$)]])</f>
        <v>0</v>
      </c>
      <c r="J257" s="92">
        <v>0</v>
      </c>
      <c r="K257" s="140">
        <f>Materiais[[#This Row],[Custo Total
Sem Tributos (R$)]]*Materiais[[#This Row],[IPI
(%)]]+Materiais[[#This Row],[Custo Total
Sem Tributos (R$)]]</f>
        <v>0</v>
      </c>
      <c r="L257" s="92">
        <v>0.1</v>
      </c>
      <c r="M257" s="76">
        <f>Materiais[[#This Row],[Custo Total
Com IPI (R$)]]/(1-Materiais[[#This Row],[Margem
(%)]])</f>
        <v>0</v>
      </c>
      <c r="N257" s="16">
        <f>Materiais[[#This Row],[Valor Venda c/ Potencial Desconto  em Material (R$)]]-Materiais[[#This Row],[Custo Total
Com IPI (R$)]]</f>
        <v>0</v>
      </c>
      <c r="O257" s="93">
        <f>Materiais[[#This Row],[Valor Total
Com Margem
Sem Tributos   (R$)]]/(1-('Valores Finais'!$C$10))</f>
        <v>0</v>
      </c>
      <c r="P257" s="93">
        <f>Materiais[[#This Row],[Valor Venda c/ Potencial Desconto  em Material (R$)]]/(1-('Valores Finais'!$B$6))</f>
        <v>0</v>
      </c>
      <c r="Q257" s="84">
        <f>'Valores Finais'!$B$10</f>
        <v>0.12</v>
      </c>
      <c r="R257" s="76">
        <f>Materiais[[#This Row],[Valor Venda c/ Comissões (R$)]]/(1-Materiais[[#This Row],[Tributos
(%)]])-Materiais[[#This Row],[Valor Venda c/ Comissões (R$)]]</f>
        <v>0</v>
      </c>
      <c r="S257" s="76">
        <f>Materiais[[#This Row],[Valor Venda c/ Comissões (R$)]]+Materiais[[#This Row],[Tributos
(R$)]]</f>
        <v>0</v>
      </c>
      <c r="T257" s="185"/>
      <c r="U257" s="186">
        <f ca="1">IF(Materiais[[#This Row],[Data Update]] = "",0,IF(_xlfn.DAYS(NOW(),Materiais[[#This Row],[Data Update]])&lt;=0,0,_xlfn.DAYS(NOW(),Materiais[[#This Row],[Data Update]])))</f>
        <v>0</v>
      </c>
    </row>
    <row r="258" spans="1:21" x14ac:dyDescent="0.2">
      <c r="A258" s="46"/>
      <c r="B258" s="46"/>
      <c r="C258" s="46"/>
      <c r="D258" s="46"/>
      <c r="E258" s="46"/>
      <c r="F258" s="138"/>
      <c r="G258" s="129"/>
      <c r="H258" s="180"/>
      <c r="I258" s="5">
        <f>(Materiais[[#This Row],[Qtde.]]*Materiais[[#This Row],[Custo Unitário
Sem Tributos (R$)]])</f>
        <v>0</v>
      </c>
      <c r="J258" s="92">
        <v>0</v>
      </c>
      <c r="K258" s="140">
        <f>Materiais[[#This Row],[Custo Total
Sem Tributos (R$)]]*Materiais[[#This Row],[IPI
(%)]]+Materiais[[#This Row],[Custo Total
Sem Tributos (R$)]]</f>
        <v>0</v>
      </c>
      <c r="L258" s="92">
        <v>0.1</v>
      </c>
      <c r="M258" s="76">
        <f>Materiais[[#This Row],[Custo Total
Com IPI (R$)]]/(1-Materiais[[#This Row],[Margem
(%)]])</f>
        <v>0</v>
      </c>
      <c r="N258" s="16">
        <f>Materiais[[#This Row],[Valor Venda c/ Potencial Desconto  em Material (R$)]]-Materiais[[#This Row],[Custo Total
Com IPI (R$)]]</f>
        <v>0</v>
      </c>
      <c r="O258" s="93">
        <f>Materiais[[#This Row],[Valor Total
Com Margem
Sem Tributos   (R$)]]/(1-('Valores Finais'!$C$10))</f>
        <v>0</v>
      </c>
      <c r="P258" s="93">
        <f>Materiais[[#This Row],[Valor Venda c/ Potencial Desconto  em Material (R$)]]/(1-('Valores Finais'!$B$6))</f>
        <v>0</v>
      </c>
      <c r="Q258" s="84">
        <f>'Valores Finais'!$B$10</f>
        <v>0.12</v>
      </c>
      <c r="R258" s="76">
        <f>Materiais[[#This Row],[Valor Venda c/ Comissões (R$)]]/(1-Materiais[[#This Row],[Tributos
(%)]])-Materiais[[#This Row],[Valor Venda c/ Comissões (R$)]]</f>
        <v>0</v>
      </c>
      <c r="S258" s="76">
        <f>Materiais[[#This Row],[Valor Venda c/ Comissões (R$)]]+Materiais[[#This Row],[Tributos
(R$)]]</f>
        <v>0</v>
      </c>
      <c r="T258" s="185"/>
      <c r="U258" s="186">
        <f ca="1">IF(Materiais[[#This Row],[Data Update]] = "",0,IF(_xlfn.DAYS(NOW(),Materiais[[#This Row],[Data Update]])&lt;=0,0,_xlfn.DAYS(NOW(),Materiais[[#This Row],[Data Update]])))</f>
        <v>0</v>
      </c>
    </row>
    <row r="259" spans="1:21" x14ac:dyDescent="0.2">
      <c r="A259" s="46"/>
      <c r="B259" s="46"/>
      <c r="C259" s="46"/>
      <c r="D259" s="46"/>
      <c r="E259" s="46"/>
      <c r="F259" s="138"/>
      <c r="G259" s="129"/>
      <c r="H259" s="180"/>
      <c r="I259" s="5">
        <f>(Materiais[[#This Row],[Qtde.]]*Materiais[[#This Row],[Custo Unitário
Sem Tributos (R$)]])</f>
        <v>0</v>
      </c>
      <c r="J259" s="92">
        <v>0</v>
      </c>
      <c r="K259" s="140">
        <f>Materiais[[#This Row],[Custo Total
Sem Tributos (R$)]]*Materiais[[#This Row],[IPI
(%)]]+Materiais[[#This Row],[Custo Total
Sem Tributos (R$)]]</f>
        <v>0</v>
      </c>
      <c r="L259" s="92">
        <v>0.1</v>
      </c>
      <c r="M259" s="76">
        <f>Materiais[[#This Row],[Custo Total
Com IPI (R$)]]/(1-Materiais[[#This Row],[Margem
(%)]])</f>
        <v>0</v>
      </c>
      <c r="N259" s="16">
        <f>Materiais[[#This Row],[Valor Venda c/ Potencial Desconto  em Material (R$)]]-Materiais[[#This Row],[Custo Total
Com IPI (R$)]]</f>
        <v>0</v>
      </c>
      <c r="O259" s="93">
        <f>Materiais[[#This Row],[Valor Total
Com Margem
Sem Tributos   (R$)]]/(1-('Valores Finais'!$C$10))</f>
        <v>0</v>
      </c>
      <c r="P259" s="93">
        <f>Materiais[[#This Row],[Valor Venda c/ Potencial Desconto  em Material (R$)]]/(1-('Valores Finais'!$B$6))</f>
        <v>0</v>
      </c>
      <c r="Q259" s="84">
        <f>'Valores Finais'!$B$10</f>
        <v>0.12</v>
      </c>
      <c r="R259" s="76">
        <f>Materiais[[#This Row],[Valor Venda c/ Comissões (R$)]]/(1-Materiais[[#This Row],[Tributos
(%)]])-Materiais[[#This Row],[Valor Venda c/ Comissões (R$)]]</f>
        <v>0</v>
      </c>
      <c r="S259" s="76">
        <f>Materiais[[#This Row],[Valor Venda c/ Comissões (R$)]]+Materiais[[#This Row],[Tributos
(R$)]]</f>
        <v>0</v>
      </c>
      <c r="T259" s="185"/>
      <c r="U259" s="186">
        <f ca="1">IF(Materiais[[#This Row],[Data Update]] = "",0,IF(_xlfn.DAYS(NOW(),Materiais[[#This Row],[Data Update]])&lt;=0,0,_xlfn.DAYS(NOW(),Materiais[[#This Row],[Data Update]])))</f>
        <v>0</v>
      </c>
    </row>
    <row r="260" spans="1:21" x14ac:dyDescent="0.2">
      <c r="A260" s="46"/>
      <c r="B260" s="46"/>
      <c r="C260" s="46"/>
      <c r="D260" s="46"/>
      <c r="E260" s="46"/>
      <c r="F260" s="138"/>
      <c r="G260" s="129"/>
      <c r="H260" s="180"/>
      <c r="I260" s="5">
        <f>(Materiais[[#This Row],[Qtde.]]*Materiais[[#This Row],[Custo Unitário
Sem Tributos (R$)]])</f>
        <v>0</v>
      </c>
      <c r="J260" s="92">
        <v>0</v>
      </c>
      <c r="K260" s="140">
        <f>Materiais[[#This Row],[Custo Total
Sem Tributos (R$)]]*Materiais[[#This Row],[IPI
(%)]]+Materiais[[#This Row],[Custo Total
Sem Tributos (R$)]]</f>
        <v>0</v>
      </c>
      <c r="L260" s="92">
        <v>0.1</v>
      </c>
      <c r="M260" s="76">
        <f>Materiais[[#This Row],[Custo Total
Com IPI (R$)]]/(1-Materiais[[#This Row],[Margem
(%)]])</f>
        <v>0</v>
      </c>
      <c r="N260" s="16">
        <f>Materiais[[#This Row],[Valor Venda c/ Potencial Desconto  em Material (R$)]]-Materiais[[#This Row],[Custo Total
Com IPI (R$)]]</f>
        <v>0</v>
      </c>
      <c r="O260" s="93">
        <f>Materiais[[#This Row],[Valor Total
Com Margem
Sem Tributos   (R$)]]/(1-('Valores Finais'!$C$10))</f>
        <v>0</v>
      </c>
      <c r="P260" s="93">
        <f>Materiais[[#This Row],[Valor Venda c/ Potencial Desconto  em Material (R$)]]/(1-('Valores Finais'!$B$6))</f>
        <v>0</v>
      </c>
      <c r="Q260" s="84">
        <f>'Valores Finais'!$B$10</f>
        <v>0.12</v>
      </c>
      <c r="R260" s="76">
        <f>Materiais[[#This Row],[Valor Venda c/ Comissões (R$)]]/(1-Materiais[[#This Row],[Tributos
(%)]])-Materiais[[#This Row],[Valor Venda c/ Comissões (R$)]]</f>
        <v>0</v>
      </c>
      <c r="S260" s="76">
        <f>Materiais[[#This Row],[Valor Venda c/ Comissões (R$)]]+Materiais[[#This Row],[Tributos
(R$)]]</f>
        <v>0</v>
      </c>
      <c r="T260" s="185"/>
      <c r="U260" s="186">
        <f ca="1">IF(Materiais[[#This Row],[Data Update]] = "",0,IF(_xlfn.DAYS(NOW(),Materiais[[#This Row],[Data Update]])&lt;=0,0,_xlfn.DAYS(NOW(),Materiais[[#This Row],[Data Update]])))</f>
        <v>0</v>
      </c>
    </row>
    <row r="261" spans="1:21" x14ac:dyDescent="0.2">
      <c r="A261" s="46"/>
      <c r="B261" s="46"/>
      <c r="C261" s="46"/>
      <c r="D261" s="46"/>
      <c r="E261" s="46"/>
      <c r="F261" s="138"/>
      <c r="G261" s="129"/>
      <c r="H261" s="180"/>
      <c r="I261" s="5">
        <f>(Materiais[[#This Row],[Qtde.]]*Materiais[[#This Row],[Custo Unitário
Sem Tributos (R$)]])</f>
        <v>0</v>
      </c>
      <c r="J261" s="92">
        <v>0</v>
      </c>
      <c r="K261" s="140">
        <f>Materiais[[#This Row],[Custo Total
Sem Tributos (R$)]]*Materiais[[#This Row],[IPI
(%)]]+Materiais[[#This Row],[Custo Total
Sem Tributos (R$)]]</f>
        <v>0</v>
      </c>
      <c r="L261" s="92">
        <v>0.1</v>
      </c>
      <c r="M261" s="76">
        <f>Materiais[[#This Row],[Custo Total
Com IPI (R$)]]/(1-Materiais[[#This Row],[Margem
(%)]])</f>
        <v>0</v>
      </c>
      <c r="N261" s="16">
        <f>Materiais[[#This Row],[Valor Venda c/ Potencial Desconto  em Material (R$)]]-Materiais[[#This Row],[Custo Total
Com IPI (R$)]]</f>
        <v>0</v>
      </c>
      <c r="O261" s="93">
        <f>Materiais[[#This Row],[Valor Total
Com Margem
Sem Tributos   (R$)]]/(1-('Valores Finais'!$C$10))</f>
        <v>0</v>
      </c>
      <c r="P261" s="93">
        <f>Materiais[[#This Row],[Valor Venda c/ Potencial Desconto  em Material (R$)]]/(1-('Valores Finais'!$B$6))</f>
        <v>0</v>
      </c>
      <c r="Q261" s="84">
        <f>'Valores Finais'!$B$10</f>
        <v>0.12</v>
      </c>
      <c r="R261" s="76">
        <f>Materiais[[#This Row],[Valor Venda c/ Comissões (R$)]]/(1-Materiais[[#This Row],[Tributos
(%)]])-Materiais[[#This Row],[Valor Venda c/ Comissões (R$)]]</f>
        <v>0</v>
      </c>
      <c r="S261" s="76">
        <f>Materiais[[#This Row],[Valor Venda c/ Comissões (R$)]]+Materiais[[#This Row],[Tributos
(R$)]]</f>
        <v>0</v>
      </c>
      <c r="T261" s="185"/>
      <c r="U261" s="186">
        <f ca="1">IF(Materiais[[#This Row],[Data Update]] = "",0,IF(_xlfn.DAYS(NOW(),Materiais[[#This Row],[Data Update]])&lt;=0,0,_xlfn.DAYS(NOW(),Materiais[[#This Row],[Data Update]])))</f>
        <v>0</v>
      </c>
    </row>
    <row r="262" spans="1:21" s="53" customFormat="1" x14ac:dyDescent="0.2">
      <c r="A262" s="46"/>
      <c r="B262" s="46"/>
      <c r="C262" s="46"/>
      <c r="D262" s="46"/>
      <c r="E262" s="46"/>
      <c r="F262" s="138"/>
      <c r="G262" s="129"/>
      <c r="H262" s="180"/>
      <c r="I262" s="5">
        <f>(Materiais[[#This Row],[Qtde.]]*Materiais[[#This Row],[Custo Unitário
Sem Tributos (R$)]])</f>
        <v>0</v>
      </c>
      <c r="J262" s="92">
        <v>0</v>
      </c>
      <c r="K262" s="140">
        <f>Materiais[[#This Row],[Custo Total
Sem Tributos (R$)]]*Materiais[[#This Row],[IPI
(%)]]+Materiais[[#This Row],[Custo Total
Sem Tributos (R$)]]</f>
        <v>0</v>
      </c>
      <c r="L262" s="92">
        <v>0.1</v>
      </c>
      <c r="M262" s="76">
        <f>Materiais[[#This Row],[Custo Total
Com IPI (R$)]]/(1-Materiais[[#This Row],[Margem
(%)]])</f>
        <v>0</v>
      </c>
      <c r="N262" s="16">
        <f>Materiais[[#This Row],[Valor Venda c/ Potencial Desconto  em Material (R$)]]-Materiais[[#This Row],[Custo Total
Com IPI (R$)]]</f>
        <v>0</v>
      </c>
      <c r="O262" s="93">
        <f>Materiais[[#This Row],[Valor Total
Com Margem
Sem Tributos   (R$)]]/(1-('Valores Finais'!$C$10))</f>
        <v>0</v>
      </c>
      <c r="P262" s="93">
        <f>Materiais[[#This Row],[Valor Venda c/ Potencial Desconto  em Material (R$)]]/(1-('Valores Finais'!$B$6))</f>
        <v>0</v>
      </c>
      <c r="Q262" s="84">
        <f>'Valores Finais'!$B$10</f>
        <v>0.12</v>
      </c>
      <c r="R262" s="76">
        <f>Materiais[[#This Row],[Valor Venda c/ Comissões (R$)]]/(1-Materiais[[#This Row],[Tributos
(%)]])-Materiais[[#This Row],[Valor Venda c/ Comissões (R$)]]</f>
        <v>0</v>
      </c>
      <c r="S262" s="76">
        <f>Materiais[[#This Row],[Valor Venda c/ Comissões (R$)]]+Materiais[[#This Row],[Tributos
(R$)]]</f>
        <v>0</v>
      </c>
      <c r="T262" s="185"/>
      <c r="U262" s="186">
        <f ca="1">IF(Materiais[[#This Row],[Data Update]] = "",0,IF(_xlfn.DAYS(NOW(),Materiais[[#This Row],[Data Update]])&lt;=0,0,_xlfn.DAYS(NOW(),Materiais[[#This Row],[Data Update]])))</f>
        <v>0</v>
      </c>
    </row>
    <row r="263" spans="1:21" s="53" customFormat="1" x14ac:dyDescent="0.2">
      <c r="A263" s="46"/>
      <c r="B263" s="46"/>
      <c r="C263" s="46"/>
      <c r="D263" s="46"/>
      <c r="E263" s="46"/>
      <c r="F263" s="138"/>
      <c r="G263" s="129"/>
      <c r="H263" s="180"/>
      <c r="I263" s="5">
        <f>(Materiais[[#This Row],[Qtde.]]*Materiais[[#This Row],[Custo Unitário
Sem Tributos (R$)]])</f>
        <v>0</v>
      </c>
      <c r="J263" s="92">
        <v>0</v>
      </c>
      <c r="K263" s="140">
        <f>Materiais[[#This Row],[Custo Total
Sem Tributos (R$)]]*Materiais[[#This Row],[IPI
(%)]]+Materiais[[#This Row],[Custo Total
Sem Tributos (R$)]]</f>
        <v>0</v>
      </c>
      <c r="L263" s="92">
        <v>0.1</v>
      </c>
      <c r="M263" s="76">
        <f>Materiais[[#This Row],[Custo Total
Com IPI (R$)]]/(1-Materiais[[#This Row],[Margem
(%)]])</f>
        <v>0</v>
      </c>
      <c r="N263" s="16">
        <f>Materiais[[#This Row],[Valor Venda c/ Potencial Desconto  em Material (R$)]]-Materiais[[#This Row],[Custo Total
Com IPI (R$)]]</f>
        <v>0</v>
      </c>
      <c r="O263" s="93">
        <f>Materiais[[#This Row],[Valor Total
Com Margem
Sem Tributos   (R$)]]/(1-('Valores Finais'!$C$10))</f>
        <v>0</v>
      </c>
      <c r="P263" s="93">
        <f>Materiais[[#This Row],[Valor Venda c/ Potencial Desconto  em Material (R$)]]/(1-('Valores Finais'!$B$6))</f>
        <v>0</v>
      </c>
      <c r="Q263" s="84">
        <f>'Valores Finais'!$B$10</f>
        <v>0.12</v>
      </c>
      <c r="R263" s="76">
        <f>Materiais[[#This Row],[Valor Venda c/ Comissões (R$)]]/(1-Materiais[[#This Row],[Tributos
(%)]])-Materiais[[#This Row],[Valor Venda c/ Comissões (R$)]]</f>
        <v>0</v>
      </c>
      <c r="S263" s="76">
        <f>Materiais[[#This Row],[Valor Venda c/ Comissões (R$)]]+Materiais[[#This Row],[Tributos
(R$)]]</f>
        <v>0</v>
      </c>
      <c r="T263" s="185"/>
      <c r="U263" s="186">
        <f ca="1">IF(Materiais[[#This Row],[Data Update]] = "",0,IF(_xlfn.DAYS(NOW(),Materiais[[#This Row],[Data Update]])&lt;=0,0,_xlfn.DAYS(NOW(),Materiais[[#This Row],[Data Update]])))</f>
        <v>0</v>
      </c>
    </row>
    <row r="264" spans="1:21" s="53" customFormat="1" x14ac:dyDescent="0.2">
      <c r="A264" s="46"/>
      <c r="B264" s="46"/>
      <c r="C264" s="46"/>
      <c r="D264" s="46"/>
      <c r="E264" s="46"/>
      <c r="F264" s="138"/>
      <c r="G264" s="129"/>
      <c r="H264" s="180"/>
      <c r="I264" s="5">
        <f>(Materiais[[#This Row],[Qtde.]]*Materiais[[#This Row],[Custo Unitário
Sem Tributos (R$)]])</f>
        <v>0</v>
      </c>
      <c r="J264" s="92">
        <v>0</v>
      </c>
      <c r="K264" s="140">
        <f>Materiais[[#This Row],[Custo Total
Sem Tributos (R$)]]*Materiais[[#This Row],[IPI
(%)]]+Materiais[[#This Row],[Custo Total
Sem Tributos (R$)]]</f>
        <v>0</v>
      </c>
      <c r="L264" s="92">
        <v>0.1</v>
      </c>
      <c r="M264" s="76">
        <f>Materiais[[#This Row],[Custo Total
Com IPI (R$)]]/(1-Materiais[[#This Row],[Margem
(%)]])</f>
        <v>0</v>
      </c>
      <c r="N264" s="16">
        <f>Materiais[[#This Row],[Valor Venda c/ Potencial Desconto  em Material (R$)]]-Materiais[[#This Row],[Custo Total
Com IPI (R$)]]</f>
        <v>0</v>
      </c>
      <c r="O264" s="93">
        <f>Materiais[[#This Row],[Valor Total
Com Margem
Sem Tributos   (R$)]]/(1-('Valores Finais'!$C$10))</f>
        <v>0</v>
      </c>
      <c r="P264" s="93">
        <f>Materiais[[#This Row],[Valor Venda c/ Potencial Desconto  em Material (R$)]]/(1-('Valores Finais'!$B$6))</f>
        <v>0</v>
      </c>
      <c r="Q264" s="84">
        <f>'Valores Finais'!$B$10</f>
        <v>0.12</v>
      </c>
      <c r="R264" s="76">
        <f>Materiais[[#This Row],[Valor Venda c/ Comissões (R$)]]/(1-Materiais[[#This Row],[Tributos
(%)]])-Materiais[[#This Row],[Valor Venda c/ Comissões (R$)]]</f>
        <v>0</v>
      </c>
      <c r="S264" s="76">
        <f>Materiais[[#This Row],[Valor Venda c/ Comissões (R$)]]+Materiais[[#This Row],[Tributos
(R$)]]</f>
        <v>0</v>
      </c>
      <c r="T264" s="185"/>
      <c r="U264" s="186">
        <f ca="1">IF(Materiais[[#This Row],[Data Update]] = "",0,IF(_xlfn.DAYS(NOW(),Materiais[[#This Row],[Data Update]])&lt;=0,0,_xlfn.DAYS(NOW(),Materiais[[#This Row],[Data Update]])))</f>
        <v>0</v>
      </c>
    </row>
    <row r="265" spans="1:21" s="53" customFormat="1" x14ac:dyDescent="0.2">
      <c r="A265" s="46"/>
      <c r="B265" s="46"/>
      <c r="C265" s="46"/>
      <c r="D265" s="46"/>
      <c r="E265" s="46"/>
      <c r="F265" s="138"/>
      <c r="G265" s="129"/>
      <c r="H265" s="180"/>
      <c r="I265" s="5">
        <f>(Materiais[[#This Row],[Qtde.]]*Materiais[[#This Row],[Custo Unitário
Sem Tributos (R$)]])</f>
        <v>0</v>
      </c>
      <c r="J265" s="92">
        <v>0</v>
      </c>
      <c r="K265" s="140">
        <f>Materiais[[#This Row],[Custo Total
Sem Tributos (R$)]]*Materiais[[#This Row],[IPI
(%)]]+Materiais[[#This Row],[Custo Total
Sem Tributos (R$)]]</f>
        <v>0</v>
      </c>
      <c r="L265" s="92">
        <v>0.1</v>
      </c>
      <c r="M265" s="76">
        <f>Materiais[[#This Row],[Custo Total
Com IPI (R$)]]/(1-Materiais[[#This Row],[Margem
(%)]])</f>
        <v>0</v>
      </c>
      <c r="N265" s="16">
        <f>Materiais[[#This Row],[Valor Venda c/ Potencial Desconto  em Material (R$)]]-Materiais[[#This Row],[Custo Total
Com IPI (R$)]]</f>
        <v>0</v>
      </c>
      <c r="O265" s="93">
        <f>Materiais[[#This Row],[Valor Total
Com Margem
Sem Tributos   (R$)]]/(1-('Valores Finais'!$C$10))</f>
        <v>0</v>
      </c>
      <c r="P265" s="93">
        <f>Materiais[[#This Row],[Valor Venda c/ Potencial Desconto  em Material (R$)]]/(1-('Valores Finais'!$B$6))</f>
        <v>0</v>
      </c>
      <c r="Q265" s="84">
        <f>'Valores Finais'!$B$10</f>
        <v>0.12</v>
      </c>
      <c r="R265" s="76">
        <f>Materiais[[#This Row],[Valor Venda c/ Comissões (R$)]]/(1-Materiais[[#This Row],[Tributos
(%)]])-Materiais[[#This Row],[Valor Venda c/ Comissões (R$)]]</f>
        <v>0</v>
      </c>
      <c r="S265" s="76">
        <f>Materiais[[#This Row],[Valor Venda c/ Comissões (R$)]]+Materiais[[#This Row],[Tributos
(R$)]]</f>
        <v>0</v>
      </c>
      <c r="T265" s="185"/>
      <c r="U265" s="186">
        <f ca="1">IF(Materiais[[#This Row],[Data Update]] = "",0,IF(_xlfn.DAYS(NOW(),Materiais[[#This Row],[Data Update]])&lt;=0,0,_xlfn.DAYS(NOW(),Materiais[[#This Row],[Data Update]])))</f>
        <v>0</v>
      </c>
    </row>
    <row r="266" spans="1:21" s="53" customFormat="1" x14ac:dyDescent="0.2">
      <c r="A266" s="46"/>
      <c r="B266" s="46"/>
      <c r="C266" s="46"/>
      <c r="D266" s="46"/>
      <c r="E266" s="46"/>
      <c r="F266" s="138"/>
      <c r="G266" s="129"/>
      <c r="H266" s="180"/>
      <c r="I266" s="5">
        <f>(Materiais[[#This Row],[Qtde.]]*Materiais[[#This Row],[Custo Unitário
Sem Tributos (R$)]])</f>
        <v>0</v>
      </c>
      <c r="J266" s="92">
        <v>0</v>
      </c>
      <c r="K266" s="140">
        <f>Materiais[[#This Row],[Custo Total
Sem Tributos (R$)]]*Materiais[[#This Row],[IPI
(%)]]+Materiais[[#This Row],[Custo Total
Sem Tributos (R$)]]</f>
        <v>0</v>
      </c>
      <c r="L266" s="92">
        <v>0.1</v>
      </c>
      <c r="M266" s="76">
        <f>Materiais[[#This Row],[Custo Total
Com IPI (R$)]]/(1-Materiais[[#This Row],[Margem
(%)]])</f>
        <v>0</v>
      </c>
      <c r="N266" s="16">
        <f>Materiais[[#This Row],[Valor Venda c/ Potencial Desconto  em Material (R$)]]-Materiais[[#This Row],[Custo Total
Com IPI (R$)]]</f>
        <v>0</v>
      </c>
      <c r="O266" s="93">
        <f>Materiais[[#This Row],[Valor Total
Com Margem
Sem Tributos   (R$)]]/(1-('Valores Finais'!$C$10))</f>
        <v>0</v>
      </c>
      <c r="P266" s="93">
        <f>Materiais[[#This Row],[Valor Venda c/ Potencial Desconto  em Material (R$)]]/(1-('Valores Finais'!$B$6))</f>
        <v>0</v>
      </c>
      <c r="Q266" s="84">
        <f>'Valores Finais'!$B$10</f>
        <v>0.12</v>
      </c>
      <c r="R266" s="76">
        <f>Materiais[[#This Row],[Valor Venda c/ Comissões (R$)]]/(1-Materiais[[#This Row],[Tributos
(%)]])-Materiais[[#This Row],[Valor Venda c/ Comissões (R$)]]</f>
        <v>0</v>
      </c>
      <c r="S266" s="76">
        <f>Materiais[[#This Row],[Valor Venda c/ Comissões (R$)]]+Materiais[[#This Row],[Tributos
(R$)]]</f>
        <v>0</v>
      </c>
      <c r="T266" s="185"/>
      <c r="U266" s="186">
        <f ca="1">IF(Materiais[[#This Row],[Data Update]] = "",0,IF(_xlfn.DAYS(NOW(),Materiais[[#This Row],[Data Update]])&lt;=0,0,_xlfn.DAYS(NOW(),Materiais[[#This Row],[Data Update]])))</f>
        <v>0</v>
      </c>
    </row>
    <row r="267" spans="1:21" s="53" customFormat="1" x14ac:dyDescent="0.2">
      <c r="A267" s="46"/>
      <c r="B267" s="46"/>
      <c r="C267" s="46"/>
      <c r="D267" s="46"/>
      <c r="E267" s="46"/>
      <c r="F267" s="138"/>
      <c r="G267" s="129"/>
      <c r="H267" s="180"/>
      <c r="I267" s="5">
        <f>(Materiais[[#This Row],[Qtde.]]*Materiais[[#This Row],[Custo Unitário
Sem Tributos (R$)]])</f>
        <v>0</v>
      </c>
      <c r="J267" s="92">
        <v>0</v>
      </c>
      <c r="K267" s="140">
        <f>Materiais[[#This Row],[Custo Total
Sem Tributos (R$)]]*Materiais[[#This Row],[IPI
(%)]]+Materiais[[#This Row],[Custo Total
Sem Tributos (R$)]]</f>
        <v>0</v>
      </c>
      <c r="L267" s="92">
        <v>0.1</v>
      </c>
      <c r="M267" s="76">
        <f>Materiais[[#This Row],[Custo Total
Com IPI (R$)]]/(1-Materiais[[#This Row],[Margem
(%)]])</f>
        <v>0</v>
      </c>
      <c r="N267" s="16">
        <f>Materiais[[#This Row],[Valor Venda c/ Potencial Desconto  em Material (R$)]]-Materiais[[#This Row],[Custo Total
Com IPI (R$)]]</f>
        <v>0</v>
      </c>
      <c r="O267" s="93">
        <f>Materiais[[#This Row],[Valor Total
Com Margem
Sem Tributos   (R$)]]/(1-('Valores Finais'!$C$10))</f>
        <v>0</v>
      </c>
      <c r="P267" s="93">
        <f>Materiais[[#This Row],[Valor Venda c/ Potencial Desconto  em Material (R$)]]/(1-('Valores Finais'!$B$6))</f>
        <v>0</v>
      </c>
      <c r="Q267" s="84">
        <f>'Valores Finais'!$B$10</f>
        <v>0.12</v>
      </c>
      <c r="R267" s="76">
        <f>Materiais[[#This Row],[Valor Venda c/ Comissões (R$)]]/(1-Materiais[[#This Row],[Tributos
(%)]])-Materiais[[#This Row],[Valor Venda c/ Comissões (R$)]]</f>
        <v>0</v>
      </c>
      <c r="S267" s="76">
        <f>Materiais[[#This Row],[Valor Venda c/ Comissões (R$)]]+Materiais[[#This Row],[Tributos
(R$)]]</f>
        <v>0</v>
      </c>
      <c r="T267" s="185"/>
      <c r="U267" s="186">
        <f ca="1">IF(Materiais[[#This Row],[Data Update]] = "",0,IF(_xlfn.DAYS(NOW(),Materiais[[#This Row],[Data Update]])&lt;=0,0,_xlfn.DAYS(NOW(),Materiais[[#This Row],[Data Update]])))</f>
        <v>0</v>
      </c>
    </row>
    <row r="268" spans="1:21" s="53" customFormat="1" x14ac:dyDescent="0.2">
      <c r="A268" s="46"/>
      <c r="B268" s="46"/>
      <c r="C268" s="46"/>
      <c r="D268" s="46"/>
      <c r="E268" s="46"/>
      <c r="F268" s="138"/>
      <c r="G268" s="129"/>
      <c r="H268" s="180"/>
      <c r="I268" s="5">
        <f>(Materiais[[#This Row],[Qtde.]]*Materiais[[#This Row],[Custo Unitário
Sem Tributos (R$)]])</f>
        <v>0</v>
      </c>
      <c r="J268" s="92">
        <v>0</v>
      </c>
      <c r="K268" s="140">
        <f>Materiais[[#This Row],[Custo Total
Sem Tributos (R$)]]*Materiais[[#This Row],[IPI
(%)]]+Materiais[[#This Row],[Custo Total
Sem Tributos (R$)]]</f>
        <v>0</v>
      </c>
      <c r="L268" s="92">
        <v>0.1</v>
      </c>
      <c r="M268" s="76">
        <f>Materiais[[#This Row],[Custo Total
Com IPI (R$)]]/(1-Materiais[[#This Row],[Margem
(%)]])</f>
        <v>0</v>
      </c>
      <c r="N268" s="16">
        <f>Materiais[[#This Row],[Valor Venda c/ Potencial Desconto  em Material (R$)]]-Materiais[[#This Row],[Custo Total
Com IPI (R$)]]</f>
        <v>0</v>
      </c>
      <c r="O268" s="93">
        <f>Materiais[[#This Row],[Valor Total
Com Margem
Sem Tributos   (R$)]]/(1-('Valores Finais'!$C$10))</f>
        <v>0</v>
      </c>
      <c r="P268" s="93">
        <f>Materiais[[#This Row],[Valor Venda c/ Potencial Desconto  em Material (R$)]]/(1-('Valores Finais'!$B$6))</f>
        <v>0</v>
      </c>
      <c r="Q268" s="84">
        <f>'Valores Finais'!$B$10</f>
        <v>0.12</v>
      </c>
      <c r="R268" s="76">
        <f>Materiais[[#This Row],[Valor Venda c/ Comissões (R$)]]/(1-Materiais[[#This Row],[Tributos
(%)]])-Materiais[[#This Row],[Valor Venda c/ Comissões (R$)]]</f>
        <v>0</v>
      </c>
      <c r="S268" s="76">
        <f>Materiais[[#This Row],[Valor Venda c/ Comissões (R$)]]+Materiais[[#This Row],[Tributos
(R$)]]</f>
        <v>0</v>
      </c>
      <c r="T268" s="185"/>
      <c r="U268" s="186">
        <f ca="1">IF(Materiais[[#This Row],[Data Update]] = "",0,IF(_xlfn.DAYS(NOW(),Materiais[[#This Row],[Data Update]])&lt;=0,0,_xlfn.DAYS(NOW(),Materiais[[#This Row],[Data Update]])))</f>
        <v>0</v>
      </c>
    </row>
    <row r="269" spans="1:21" x14ac:dyDescent="0.2">
      <c r="A269" s="46"/>
      <c r="B269" s="46"/>
      <c r="C269" s="46"/>
      <c r="D269" s="46"/>
      <c r="E269" s="46"/>
      <c r="F269" s="138"/>
      <c r="G269" s="129"/>
      <c r="H269" s="180"/>
      <c r="I269" s="5">
        <f>(Materiais[[#This Row],[Qtde.]]*Materiais[[#This Row],[Custo Unitário
Sem Tributos (R$)]])</f>
        <v>0</v>
      </c>
      <c r="J269" s="92">
        <v>0</v>
      </c>
      <c r="K269" s="140">
        <f>Materiais[[#This Row],[Custo Total
Sem Tributos (R$)]]*Materiais[[#This Row],[IPI
(%)]]+Materiais[[#This Row],[Custo Total
Sem Tributos (R$)]]</f>
        <v>0</v>
      </c>
      <c r="L269" s="92">
        <v>0.1</v>
      </c>
      <c r="M269" s="76">
        <f>Materiais[[#This Row],[Custo Total
Com IPI (R$)]]/(1-Materiais[[#This Row],[Margem
(%)]])</f>
        <v>0</v>
      </c>
      <c r="N269" s="16">
        <f>Materiais[[#This Row],[Valor Venda c/ Potencial Desconto  em Material (R$)]]-Materiais[[#This Row],[Custo Total
Com IPI (R$)]]</f>
        <v>0</v>
      </c>
      <c r="O269" s="93">
        <f>Materiais[[#This Row],[Valor Total
Com Margem
Sem Tributos   (R$)]]/(1-('Valores Finais'!$C$10))</f>
        <v>0</v>
      </c>
      <c r="P269" s="93">
        <f>Materiais[[#This Row],[Valor Venda c/ Potencial Desconto  em Material (R$)]]/(1-('Valores Finais'!$B$6))</f>
        <v>0</v>
      </c>
      <c r="Q269" s="84">
        <f>'Valores Finais'!$B$10</f>
        <v>0.12</v>
      </c>
      <c r="R269" s="76">
        <f>Materiais[[#This Row],[Valor Venda c/ Comissões (R$)]]/(1-Materiais[[#This Row],[Tributos
(%)]])-Materiais[[#This Row],[Valor Venda c/ Comissões (R$)]]</f>
        <v>0</v>
      </c>
      <c r="S269" s="76">
        <f>Materiais[[#This Row],[Valor Venda c/ Comissões (R$)]]+Materiais[[#This Row],[Tributos
(R$)]]</f>
        <v>0</v>
      </c>
      <c r="T269" s="185"/>
      <c r="U269" s="186">
        <f ca="1">IF(Materiais[[#This Row],[Data Update]] = "",0,IF(_xlfn.DAYS(NOW(),Materiais[[#This Row],[Data Update]])&lt;=0,0,_xlfn.DAYS(NOW(),Materiais[[#This Row],[Data Update]])))</f>
        <v>0</v>
      </c>
    </row>
    <row r="270" spans="1:21" x14ac:dyDescent="0.2">
      <c r="A270" s="46"/>
      <c r="B270" s="46"/>
      <c r="C270" s="46"/>
      <c r="D270" s="46"/>
      <c r="E270" s="46"/>
      <c r="F270" s="138"/>
      <c r="G270" s="129"/>
      <c r="H270" s="180"/>
      <c r="I270" s="5">
        <f>(Materiais[[#This Row],[Qtde.]]*Materiais[[#This Row],[Custo Unitário
Sem Tributos (R$)]])</f>
        <v>0</v>
      </c>
      <c r="J270" s="92">
        <v>0</v>
      </c>
      <c r="K270" s="140">
        <f>Materiais[[#This Row],[Custo Total
Sem Tributos (R$)]]*Materiais[[#This Row],[IPI
(%)]]+Materiais[[#This Row],[Custo Total
Sem Tributos (R$)]]</f>
        <v>0</v>
      </c>
      <c r="L270" s="92">
        <v>0.1</v>
      </c>
      <c r="M270" s="76">
        <f>Materiais[[#This Row],[Custo Total
Com IPI (R$)]]/(1-Materiais[[#This Row],[Margem
(%)]])</f>
        <v>0</v>
      </c>
      <c r="N270" s="16">
        <f>Materiais[[#This Row],[Valor Venda c/ Potencial Desconto  em Material (R$)]]-Materiais[[#This Row],[Custo Total
Com IPI (R$)]]</f>
        <v>0</v>
      </c>
      <c r="O270" s="93">
        <f>Materiais[[#This Row],[Valor Total
Com Margem
Sem Tributos   (R$)]]/(1-('Valores Finais'!$C$10))</f>
        <v>0</v>
      </c>
      <c r="P270" s="93">
        <f>Materiais[[#This Row],[Valor Venda c/ Potencial Desconto  em Material (R$)]]/(1-('Valores Finais'!$B$6))</f>
        <v>0</v>
      </c>
      <c r="Q270" s="84">
        <f>'Valores Finais'!$B$10</f>
        <v>0.12</v>
      </c>
      <c r="R270" s="76">
        <f>Materiais[[#This Row],[Valor Venda c/ Comissões (R$)]]/(1-Materiais[[#This Row],[Tributos
(%)]])-Materiais[[#This Row],[Valor Venda c/ Comissões (R$)]]</f>
        <v>0</v>
      </c>
      <c r="S270" s="76">
        <f>Materiais[[#This Row],[Valor Venda c/ Comissões (R$)]]+Materiais[[#This Row],[Tributos
(R$)]]</f>
        <v>0</v>
      </c>
      <c r="T270" s="185"/>
      <c r="U270" s="186">
        <f ca="1">IF(Materiais[[#This Row],[Data Update]] = "",0,IF(_xlfn.DAYS(NOW(),Materiais[[#This Row],[Data Update]])&lt;=0,0,_xlfn.DAYS(NOW(),Materiais[[#This Row],[Data Update]])))</f>
        <v>0</v>
      </c>
    </row>
    <row r="271" spans="1:21" x14ac:dyDescent="0.2">
      <c r="A271" s="46"/>
      <c r="B271" s="46"/>
      <c r="C271" s="46"/>
      <c r="D271" s="46"/>
      <c r="E271" s="46"/>
      <c r="F271" s="138"/>
      <c r="G271" s="129"/>
      <c r="H271" s="180"/>
      <c r="I271" s="5">
        <f>(Materiais[[#This Row],[Qtde.]]*Materiais[[#This Row],[Custo Unitário
Sem Tributos (R$)]])</f>
        <v>0</v>
      </c>
      <c r="J271" s="92">
        <v>0</v>
      </c>
      <c r="K271" s="140">
        <f>Materiais[[#This Row],[Custo Total
Sem Tributos (R$)]]*Materiais[[#This Row],[IPI
(%)]]+Materiais[[#This Row],[Custo Total
Sem Tributos (R$)]]</f>
        <v>0</v>
      </c>
      <c r="L271" s="92">
        <v>0.1</v>
      </c>
      <c r="M271" s="76">
        <f>Materiais[[#This Row],[Custo Total
Com IPI (R$)]]/(1-Materiais[[#This Row],[Margem
(%)]])</f>
        <v>0</v>
      </c>
      <c r="N271" s="16">
        <f>Materiais[[#This Row],[Valor Venda c/ Potencial Desconto  em Material (R$)]]-Materiais[[#This Row],[Custo Total
Com IPI (R$)]]</f>
        <v>0</v>
      </c>
      <c r="O271" s="93">
        <f>Materiais[[#This Row],[Valor Total
Com Margem
Sem Tributos   (R$)]]/(1-('Valores Finais'!$C$10))</f>
        <v>0</v>
      </c>
      <c r="P271" s="93">
        <f>Materiais[[#This Row],[Valor Venda c/ Potencial Desconto  em Material (R$)]]/(1-('Valores Finais'!$B$6))</f>
        <v>0</v>
      </c>
      <c r="Q271" s="84">
        <f>'Valores Finais'!$B$10</f>
        <v>0.12</v>
      </c>
      <c r="R271" s="76">
        <f>Materiais[[#This Row],[Valor Venda c/ Comissões (R$)]]/(1-Materiais[[#This Row],[Tributos
(%)]])-Materiais[[#This Row],[Valor Venda c/ Comissões (R$)]]</f>
        <v>0</v>
      </c>
      <c r="S271" s="76">
        <f>Materiais[[#This Row],[Valor Venda c/ Comissões (R$)]]+Materiais[[#This Row],[Tributos
(R$)]]</f>
        <v>0</v>
      </c>
      <c r="T271" s="185"/>
      <c r="U271" s="186">
        <f ca="1">IF(Materiais[[#This Row],[Data Update]] = "",0,IF(_xlfn.DAYS(NOW(),Materiais[[#This Row],[Data Update]])&lt;=0,0,_xlfn.DAYS(NOW(),Materiais[[#This Row],[Data Update]])))</f>
        <v>0</v>
      </c>
    </row>
    <row r="272" spans="1:21" x14ac:dyDescent="0.2">
      <c r="A272" s="46"/>
      <c r="B272" s="46"/>
      <c r="C272" s="46"/>
      <c r="D272" s="46"/>
      <c r="E272" s="46"/>
      <c r="F272" s="138"/>
      <c r="G272" s="129"/>
      <c r="H272" s="180"/>
      <c r="I272" s="5">
        <f>(Materiais[[#This Row],[Qtde.]]*Materiais[[#This Row],[Custo Unitário
Sem Tributos (R$)]])</f>
        <v>0</v>
      </c>
      <c r="J272" s="92">
        <v>0</v>
      </c>
      <c r="K272" s="140">
        <f>Materiais[[#This Row],[Custo Total
Sem Tributos (R$)]]*Materiais[[#This Row],[IPI
(%)]]+Materiais[[#This Row],[Custo Total
Sem Tributos (R$)]]</f>
        <v>0</v>
      </c>
      <c r="L272" s="92">
        <v>0.1</v>
      </c>
      <c r="M272" s="76">
        <f>Materiais[[#This Row],[Custo Total
Com IPI (R$)]]/(1-Materiais[[#This Row],[Margem
(%)]])</f>
        <v>0</v>
      </c>
      <c r="N272" s="16">
        <f>Materiais[[#This Row],[Valor Venda c/ Potencial Desconto  em Material (R$)]]-Materiais[[#This Row],[Custo Total
Com IPI (R$)]]</f>
        <v>0</v>
      </c>
      <c r="O272" s="93">
        <f>Materiais[[#This Row],[Valor Total
Com Margem
Sem Tributos   (R$)]]/(1-('Valores Finais'!$C$10))</f>
        <v>0</v>
      </c>
      <c r="P272" s="93">
        <f>Materiais[[#This Row],[Valor Venda c/ Potencial Desconto  em Material (R$)]]/(1-('Valores Finais'!$B$6))</f>
        <v>0</v>
      </c>
      <c r="Q272" s="84">
        <f>'Valores Finais'!$B$10</f>
        <v>0.12</v>
      </c>
      <c r="R272" s="76">
        <f>Materiais[[#This Row],[Valor Venda c/ Comissões (R$)]]/(1-Materiais[[#This Row],[Tributos
(%)]])-Materiais[[#This Row],[Valor Venda c/ Comissões (R$)]]</f>
        <v>0</v>
      </c>
      <c r="S272" s="76">
        <f>Materiais[[#This Row],[Valor Venda c/ Comissões (R$)]]+Materiais[[#This Row],[Tributos
(R$)]]</f>
        <v>0</v>
      </c>
      <c r="T272" s="185"/>
      <c r="U272" s="186">
        <f ca="1">IF(Materiais[[#This Row],[Data Update]] = "",0,IF(_xlfn.DAYS(NOW(),Materiais[[#This Row],[Data Update]])&lt;=0,0,_xlfn.DAYS(NOW(),Materiais[[#This Row],[Data Update]])))</f>
        <v>0</v>
      </c>
    </row>
    <row r="273" spans="1:21" x14ac:dyDescent="0.2">
      <c r="A273" s="46"/>
      <c r="B273" s="46"/>
      <c r="C273" s="46"/>
      <c r="D273" s="46"/>
      <c r="E273" s="46"/>
      <c r="F273" s="138"/>
      <c r="G273" s="129"/>
      <c r="H273" s="180"/>
      <c r="I273" s="5">
        <f>(Materiais[[#This Row],[Qtde.]]*Materiais[[#This Row],[Custo Unitário
Sem Tributos (R$)]])</f>
        <v>0</v>
      </c>
      <c r="J273" s="92">
        <v>0</v>
      </c>
      <c r="K273" s="140">
        <f>Materiais[[#This Row],[Custo Total
Sem Tributos (R$)]]*Materiais[[#This Row],[IPI
(%)]]+Materiais[[#This Row],[Custo Total
Sem Tributos (R$)]]</f>
        <v>0</v>
      </c>
      <c r="L273" s="92">
        <v>0.1</v>
      </c>
      <c r="M273" s="76">
        <f>Materiais[[#This Row],[Custo Total
Com IPI (R$)]]/(1-Materiais[[#This Row],[Margem
(%)]])</f>
        <v>0</v>
      </c>
      <c r="N273" s="16">
        <f>Materiais[[#This Row],[Valor Venda c/ Potencial Desconto  em Material (R$)]]-Materiais[[#This Row],[Custo Total
Com IPI (R$)]]</f>
        <v>0</v>
      </c>
      <c r="O273" s="93">
        <f>Materiais[[#This Row],[Valor Total
Com Margem
Sem Tributos   (R$)]]/(1-('Valores Finais'!$C$10))</f>
        <v>0</v>
      </c>
      <c r="P273" s="93">
        <f>Materiais[[#This Row],[Valor Venda c/ Potencial Desconto  em Material (R$)]]/(1-('Valores Finais'!$B$6))</f>
        <v>0</v>
      </c>
      <c r="Q273" s="84">
        <f>'Valores Finais'!$B$10</f>
        <v>0.12</v>
      </c>
      <c r="R273" s="76">
        <f>Materiais[[#This Row],[Valor Venda c/ Comissões (R$)]]/(1-Materiais[[#This Row],[Tributos
(%)]])-Materiais[[#This Row],[Valor Venda c/ Comissões (R$)]]</f>
        <v>0</v>
      </c>
      <c r="S273" s="76">
        <f>Materiais[[#This Row],[Valor Venda c/ Comissões (R$)]]+Materiais[[#This Row],[Tributos
(R$)]]</f>
        <v>0</v>
      </c>
      <c r="T273" s="185"/>
      <c r="U273" s="186">
        <f ca="1">IF(Materiais[[#This Row],[Data Update]] = "",0,IF(_xlfn.DAYS(NOW(),Materiais[[#This Row],[Data Update]])&lt;=0,0,_xlfn.DAYS(NOW(),Materiais[[#This Row],[Data Update]])))</f>
        <v>0</v>
      </c>
    </row>
    <row r="274" spans="1:21" x14ac:dyDescent="0.2">
      <c r="A274" s="46"/>
      <c r="B274" s="46"/>
      <c r="C274" s="46"/>
      <c r="D274" s="46"/>
      <c r="E274" s="46"/>
      <c r="F274" s="138"/>
      <c r="G274" s="129"/>
      <c r="H274" s="180"/>
      <c r="I274" s="5">
        <f>(Materiais[[#This Row],[Qtde.]]*Materiais[[#This Row],[Custo Unitário
Sem Tributos (R$)]])</f>
        <v>0</v>
      </c>
      <c r="J274" s="92">
        <v>0</v>
      </c>
      <c r="K274" s="140">
        <f>Materiais[[#This Row],[Custo Total
Sem Tributos (R$)]]*Materiais[[#This Row],[IPI
(%)]]+Materiais[[#This Row],[Custo Total
Sem Tributos (R$)]]</f>
        <v>0</v>
      </c>
      <c r="L274" s="92">
        <v>0.1</v>
      </c>
      <c r="M274" s="76">
        <f>Materiais[[#This Row],[Custo Total
Com IPI (R$)]]/(1-Materiais[[#This Row],[Margem
(%)]])</f>
        <v>0</v>
      </c>
      <c r="N274" s="16">
        <f>Materiais[[#This Row],[Valor Venda c/ Potencial Desconto  em Material (R$)]]-Materiais[[#This Row],[Custo Total
Com IPI (R$)]]</f>
        <v>0</v>
      </c>
      <c r="O274" s="93">
        <f>Materiais[[#This Row],[Valor Total
Com Margem
Sem Tributos   (R$)]]/(1-('Valores Finais'!$C$10))</f>
        <v>0</v>
      </c>
      <c r="P274" s="93">
        <f>Materiais[[#This Row],[Valor Venda c/ Potencial Desconto  em Material (R$)]]/(1-('Valores Finais'!$B$6))</f>
        <v>0</v>
      </c>
      <c r="Q274" s="84">
        <f>'Valores Finais'!$B$10</f>
        <v>0.12</v>
      </c>
      <c r="R274" s="76">
        <f>Materiais[[#This Row],[Valor Venda c/ Comissões (R$)]]/(1-Materiais[[#This Row],[Tributos
(%)]])-Materiais[[#This Row],[Valor Venda c/ Comissões (R$)]]</f>
        <v>0</v>
      </c>
      <c r="S274" s="76">
        <f>Materiais[[#This Row],[Valor Venda c/ Comissões (R$)]]+Materiais[[#This Row],[Tributos
(R$)]]</f>
        <v>0</v>
      </c>
      <c r="T274" s="185"/>
      <c r="U274" s="186">
        <f ca="1">IF(Materiais[[#This Row],[Data Update]] = "",0,IF(_xlfn.DAYS(NOW(),Materiais[[#This Row],[Data Update]])&lt;=0,0,_xlfn.DAYS(NOW(),Materiais[[#This Row],[Data Update]])))</f>
        <v>0</v>
      </c>
    </row>
    <row r="275" spans="1:21" x14ac:dyDescent="0.2">
      <c r="A275" s="46"/>
      <c r="B275" s="46"/>
      <c r="C275" s="46"/>
      <c r="D275" s="46"/>
      <c r="E275" s="46"/>
      <c r="F275" s="138"/>
      <c r="G275" s="129"/>
      <c r="H275" s="180"/>
      <c r="I275" s="5">
        <f>(Materiais[[#This Row],[Qtde.]]*Materiais[[#This Row],[Custo Unitário
Sem Tributos (R$)]])</f>
        <v>0</v>
      </c>
      <c r="J275" s="92">
        <v>0</v>
      </c>
      <c r="K275" s="140">
        <f>Materiais[[#This Row],[Custo Total
Sem Tributos (R$)]]*Materiais[[#This Row],[IPI
(%)]]+Materiais[[#This Row],[Custo Total
Sem Tributos (R$)]]</f>
        <v>0</v>
      </c>
      <c r="L275" s="92">
        <v>0.1</v>
      </c>
      <c r="M275" s="76">
        <f>Materiais[[#This Row],[Custo Total
Com IPI (R$)]]/(1-Materiais[[#This Row],[Margem
(%)]])</f>
        <v>0</v>
      </c>
      <c r="N275" s="16">
        <f>Materiais[[#This Row],[Valor Venda c/ Potencial Desconto  em Material (R$)]]-Materiais[[#This Row],[Custo Total
Com IPI (R$)]]</f>
        <v>0</v>
      </c>
      <c r="O275" s="93">
        <f>Materiais[[#This Row],[Valor Total
Com Margem
Sem Tributos   (R$)]]/(1-('Valores Finais'!$C$10))</f>
        <v>0</v>
      </c>
      <c r="P275" s="93">
        <f>Materiais[[#This Row],[Valor Venda c/ Potencial Desconto  em Material (R$)]]/(1-('Valores Finais'!$B$6))</f>
        <v>0</v>
      </c>
      <c r="Q275" s="84">
        <f>'Valores Finais'!$B$10</f>
        <v>0.12</v>
      </c>
      <c r="R275" s="76">
        <f>Materiais[[#This Row],[Valor Venda c/ Comissões (R$)]]/(1-Materiais[[#This Row],[Tributos
(%)]])-Materiais[[#This Row],[Valor Venda c/ Comissões (R$)]]</f>
        <v>0</v>
      </c>
      <c r="S275" s="76">
        <f>Materiais[[#This Row],[Valor Venda c/ Comissões (R$)]]+Materiais[[#This Row],[Tributos
(R$)]]</f>
        <v>0</v>
      </c>
      <c r="T275" s="185"/>
      <c r="U275" s="186">
        <f ca="1">IF(Materiais[[#This Row],[Data Update]] = "",0,IF(_xlfn.DAYS(NOW(),Materiais[[#This Row],[Data Update]])&lt;=0,0,_xlfn.DAYS(NOW(),Materiais[[#This Row],[Data Update]])))</f>
        <v>0</v>
      </c>
    </row>
    <row r="276" spans="1:21" x14ac:dyDescent="0.2">
      <c r="A276" s="46"/>
      <c r="B276" s="46"/>
      <c r="C276" s="46"/>
      <c r="D276" s="46"/>
      <c r="E276" s="46"/>
      <c r="F276" s="138"/>
      <c r="G276" s="129"/>
      <c r="H276" s="180"/>
      <c r="I276" s="5">
        <f>(Materiais[[#This Row],[Qtde.]]*Materiais[[#This Row],[Custo Unitário
Sem Tributos (R$)]])</f>
        <v>0</v>
      </c>
      <c r="J276" s="92">
        <v>0</v>
      </c>
      <c r="K276" s="140">
        <f>Materiais[[#This Row],[Custo Total
Sem Tributos (R$)]]*Materiais[[#This Row],[IPI
(%)]]+Materiais[[#This Row],[Custo Total
Sem Tributos (R$)]]</f>
        <v>0</v>
      </c>
      <c r="L276" s="92">
        <v>0.1</v>
      </c>
      <c r="M276" s="76">
        <f>Materiais[[#This Row],[Custo Total
Com IPI (R$)]]/(1-Materiais[[#This Row],[Margem
(%)]])</f>
        <v>0</v>
      </c>
      <c r="N276" s="16">
        <f>Materiais[[#This Row],[Valor Venda c/ Potencial Desconto  em Material (R$)]]-Materiais[[#This Row],[Custo Total
Com IPI (R$)]]</f>
        <v>0</v>
      </c>
      <c r="O276" s="93">
        <f>Materiais[[#This Row],[Valor Total
Com Margem
Sem Tributos   (R$)]]/(1-('Valores Finais'!$C$10))</f>
        <v>0</v>
      </c>
      <c r="P276" s="93">
        <f>Materiais[[#This Row],[Valor Venda c/ Potencial Desconto  em Material (R$)]]/(1-('Valores Finais'!$B$6))</f>
        <v>0</v>
      </c>
      <c r="Q276" s="84">
        <f>'Valores Finais'!$B$10</f>
        <v>0.12</v>
      </c>
      <c r="R276" s="76">
        <f>Materiais[[#This Row],[Valor Venda c/ Comissões (R$)]]/(1-Materiais[[#This Row],[Tributos
(%)]])-Materiais[[#This Row],[Valor Venda c/ Comissões (R$)]]</f>
        <v>0</v>
      </c>
      <c r="S276" s="76">
        <f>Materiais[[#This Row],[Valor Venda c/ Comissões (R$)]]+Materiais[[#This Row],[Tributos
(R$)]]</f>
        <v>0</v>
      </c>
      <c r="T276" s="185"/>
      <c r="U276" s="186">
        <f ca="1">IF(Materiais[[#This Row],[Data Update]] = "",0,IF(_xlfn.DAYS(NOW(),Materiais[[#This Row],[Data Update]])&lt;=0,0,_xlfn.DAYS(NOW(),Materiais[[#This Row],[Data Update]])))</f>
        <v>0</v>
      </c>
    </row>
    <row r="277" spans="1:21" x14ac:dyDescent="0.2">
      <c r="A277" s="46"/>
      <c r="B277" s="46"/>
      <c r="C277" s="46"/>
      <c r="D277" s="46"/>
      <c r="E277" s="46"/>
      <c r="F277" s="138"/>
      <c r="G277" s="129"/>
      <c r="H277" s="180"/>
      <c r="I277" s="5">
        <f>(Materiais[[#This Row],[Qtde.]]*Materiais[[#This Row],[Custo Unitário
Sem Tributos (R$)]])</f>
        <v>0</v>
      </c>
      <c r="J277" s="92">
        <v>0</v>
      </c>
      <c r="K277" s="140">
        <f>Materiais[[#This Row],[Custo Total
Sem Tributos (R$)]]*Materiais[[#This Row],[IPI
(%)]]+Materiais[[#This Row],[Custo Total
Sem Tributos (R$)]]</f>
        <v>0</v>
      </c>
      <c r="L277" s="92">
        <v>0.1</v>
      </c>
      <c r="M277" s="76">
        <f>Materiais[[#This Row],[Custo Total
Com IPI (R$)]]/(1-Materiais[[#This Row],[Margem
(%)]])</f>
        <v>0</v>
      </c>
      <c r="N277" s="16">
        <f>Materiais[[#This Row],[Valor Venda c/ Potencial Desconto  em Material (R$)]]-Materiais[[#This Row],[Custo Total
Com IPI (R$)]]</f>
        <v>0</v>
      </c>
      <c r="O277" s="93">
        <f>Materiais[[#This Row],[Valor Total
Com Margem
Sem Tributos   (R$)]]/(1-('Valores Finais'!$C$10))</f>
        <v>0</v>
      </c>
      <c r="P277" s="93">
        <f>Materiais[[#This Row],[Valor Venda c/ Potencial Desconto  em Material (R$)]]/(1-('Valores Finais'!$B$6))</f>
        <v>0</v>
      </c>
      <c r="Q277" s="84">
        <f>'Valores Finais'!$B$10</f>
        <v>0.12</v>
      </c>
      <c r="R277" s="76">
        <f>Materiais[[#This Row],[Valor Venda c/ Comissões (R$)]]/(1-Materiais[[#This Row],[Tributos
(%)]])-Materiais[[#This Row],[Valor Venda c/ Comissões (R$)]]</f>
        <v>0</v>
      </c>
      <c r="S277" s="76">
        <f>Materiais[[#This Row],[Valor Venda c/ Comissões (R$)]]+Materiais[[#This Row],[Tributos
(R$)]]</f>
        <v>0</v>
      </c>
      <c r="T277" s="185"/>
      <c r="U277" s="186">
        <f ca="1">IF(Materiais[[#This Row],[Data Update]] = "",0,IF(_xlfn.DAYS(NOW(),Materiais[[#This Row],[Data Update]])&lt;=0,0,_xlfn.DAYS(NOW(),Materiais[[#This Row],[Data Update]])))</f>
        <v>0</v>
      </c>
    </row>
    <row r="278" spans="1:21" x14ac:dyDescent="0.2">
      <c r="A278" s="46"/>
      <c r="B278" s="46"/>
      <c r="C278" s="46"/>
      <c r="D278" s="46"/>
      <c r="E278" s="46"/>
      <c r="F278" s="138"/>
      <c r="G278" s="129"/>
      <c r="H278" s="180"/>
      <c r="I278" s="5">
        <f>(Materiais[[#This Row],[Qtde.]]*Materiais[[#This Row],[Custo Unitário
Sem Tributos (R$)]])</f>
        <v>0</v>
      </c>
      <c r="J278" s="92">
        <v>0</v>
      </c>
      <c r="K278" s="140">
        <f>Materiais[[#This Row],[Custo Total
Sem Tributos (R$)]]*Materiais[[#This Row],[IPI
(%)]]+Materiais[[#This Row],[Custo Total
Sem Tributos (R$)]]</f>
        <v>0</v>
      </c>
      <c r="L278" s="92">
        <v>0.1</v>
      </c>
      <c r="M278" s="76">
        <f>Materiais[[#This Row],[Custo Total
Com IPI (R$)]]/(1-Materiais[[#This Row],[Margem
(%)]])</f>
        <v>0</v>
      </c>
      <c r="N278" s="16">
        <f>Materiais[[#This Row],[Valor Venda c/ Potencial Desconto  em Material (R$)]]-Materiais[[#This Row],[Custo Total
Com IPI (R$)]]</f>
        <v>0</v>
      </c>
      <c r="O278" s="93">
        <f>Materiais[[#This Row],[Valor Total
Com Margem
Sem Tributos   (R$)]]/(1-('Valores Finais'!$C$10))</f>
        <v>0</v>
      </c>
      <c r="P278" s="93">
        <f>Materiais[[#This Row],[Valor Venda c/ Potencial Desconto  em Material (R$)]]/(1-('Valores Finais'!$B$6))</f>
        <v>0</v>
      </c>
      <c r="Q278" s="84">
        <f>'Valores Finais'!$B$10</f>
        <v>0.12</v>
      </c>
      <c r="R278" s="76">
        <f>Materiais[[#This Row],[Valor Venda c/ Comissões (R$)]]/(1-Materiais[[#This Row],[Tributos
(%)]])-Materiais[[#This Row],[Valor Venda c/ Comissões (R$)]]</f>
        <v>0</v>
      </c>
      <c r="S278" s="76">
        <f>Materiais[[#This Row],[Valor Venda c/ Comissões (R$)]]+Materiais[[#This Row],[Tributos
(R$)]]</f>
        <v>0</v>
      </c>
      <c r="T278" s="185"/>
      <c r="U278" s="186">
        <f ca="1">IF(Materiais[[#This Row],[Data Update]] = "",0,IF(_xlfn.DAYS(NOW(),Materiais[[#This Row],[Data Update]])&lt;=0,0,_xlfn.DAYS(NOW(),Materiais[[#This Row],[Data Update]])))</f>
        <v>0</v>
      </c>
    </row>
    <row r="279" spans="1:21" x14ac:dyDescent="0.2">
      <c r="A279" s="46"/>
      <c r="B279" s="46"/>
      <c r="C279" s="46"/>
      <c r="D279" s="46"/>
      <c r="E279" s="46"/>
      <c r="F279" s="138"/>
      <c r="G279" s="129"/>
      <c r="H279" s="180"/>
      <c r="I279" s="5">
        <f>(Materiais[[#This Row],[Qtde.]]*Materiais[[#This Row],[Custo Unitário
Sem Tributos (R$)]])</f>
        <v>0</v>
      </c>
      <c r="J279" s="92">
        <v>0</v>
      </c>
      <c r="K279" s="140">
        <f>Materiais[[#This Row],[Custo Total
Sem Tributos (R$)]]*Materiais[[#This Row],[IPI
(%)]]+Materiais[[#This Row],[Custo Total
Sem Tributos (R$)]]</f>
        <v>0</v>
      </c>
      <c r="L279" s="92">
        <v>0.1</v>
      </c>
      <c r="M279" s="76">
        <f>Materiais[[#This Row],[Custo Total
Com IPI (R$)]]/(1-Materiais[[#This Row],[Margem
(%)]])</f>
        <v>0</v>
      </c>
      <c r="N279" s="16">
        <f>Materiais[[#This Row],[Valor Venda c/ Potencial Desconto  em Material (R$)]]-Materiais[[#This Row],[Custo Total
Com IPI (R$)]]</f>
        <v>0</v>
      </c>
      <c r="O279" s="93">
        <f>Materiais[[#This Row],[Valor Total
Com Margem
Sem Tributos   (R$)]]/(1-('Valores Finais'!$C$10))</f>
        <v>0</v>
      </c>
      <c r="P279" s="93">
        <f>Materiais[[#This Row],[Valor Venda c/ Potencial Desconto  em Material (R$)]]/(1-('Valores Finais'!$B$6))</f>
        <v>0</v>
      </c>
      <c r="Q279" s="84">
        <f>'Valores Finais'!$B$10</f>
        <v>0.12</v>
      </c>
      <c r="R279" s="76">
        <f>Materiais[[#This Row],[Valor Venda c/ Comissões (R$)]]/(1-Materiais[[#This Row],[Tributos
(%)]])-Materiais[[#This Row],[Valor Venda c/ Comissões (R$)]]</f>
        <v>0</v>
      </c>
      <c r="S279" s="76">
        <f>Materiais[[#This Row],[Valor Venda c/ Comissões (R$)]]+Materiais[[#This Row],[Tributos
(R$)]]</f>
        <v>0</v>
      </c>
      <c r="T279" s="185"/>
      <c r="U279" s="186">
        <f ca="1">IF(Materiais[[#This Row],[Data Update]] = "",0,IF(_xlfn.DAYS(NOW(),Materiais[[#This Row],[Data Update]])&lt;=0,0,_xlfn.DAYS(NOW(),Materiais[[#This Row],[Data Update]])))</f>
        <v>0</v>
      </c>
    </row>
    <row r="280" spans="1:21" x14ac:dyDescent="0.2">
      <c r="A280" s="46"/>
      <c r="B280" s="46"/>
      <c r="C280" s="46"/>
      <c r="D280" s="46"/>
      <c r="E280" s="46"/>
      <c r="F280" s="138"/>
      <c r="G280" s="129"/>
      <c r="H280" s="180"/>
      <c r="I280" s="5">
        <f>(Materiais[[#This Row],[Qtde.]]*Materiais[[#This Row],[Custo Unitário
Sem Tributos (R$)]])</f>
        <v>0</v>
      </c>
      <c r="J280" s="92">
        <v>0</v>
      </c>
      <c r="K280" s="140">
        <f>Materiais[[#This Row],[Custo Total
Sem Tributos (R$)]]*Materiais[[#This Row],[IPI
(%)]]+Materiais[[#This Row],[Custo Total
Sem Tributos (R$)]]</f>
        <v>0</v>
      </c>
      <c r="L280" s="92">
        <v>0.1</v>
      </c>
      <c r="M280" s="76">
        <f>Materiais[[#This Row],[Custo Total
Com IPI (R$)]]/(1-Materiais[[#This Row],[Margem
(%)]])</f>
        <v>0</v>
      </c>
      <c r="N280" s="16">
        <f>Materiais[[#This Row],[Valor Venda c/ Potencial Desconto  em Material (R$)]]-Materiais[[#This Row],[Custo Total
Com IPI (R$)]]</f>
        <v>0</v>
      </c>
      <c r="O280" s="93">
        <f>Materiais[[#This Row],[Valor Total
Com Margem
Sem Tributos   (R$)]]/(1-('Valores Finais'!$C$10))</f>
        <v>0</v>
      </c>
      <c r="P280" s="93">
        <f>Materiais[[#This Row],[Valor Venda c/ Potencial Desconto  em Material (R$)]]/(1-('Valores Finais'!$B$6))</f>
        <v>0</v>
      </c>
      <c r="Q280" s="84">
        <f>'Valores Finais'!$B$10</f>
        <v>0.12</v>
      </c>
      <c r="R280" s="76">
        <f>Materiais[[#This Row],[Valor Venda c/ Comissões (R$)]]/(1-Materiais[[#This Row],[Tributos
(%)]])-Materiais[[#This Row],[Valor Venda c/ Comissões (R$)]]</f>
        <v>0</v>
      </c>
      <c r="S280" s="76">
        <f>Materiais[[#This Row],[Valor Venda c/ Comissões (R$)]]+Materiais[[#This Row],[Tributos
(R$)]]</f>
        <v>0</v>
      </c>
      <c r="T280" s="185"/>
      <c r="U280" s="186">
        <f ca="1">IF(Materiais[[#This Row],[Data Update]] = "",0,IF(_xlfn.DAYS(NOW(),Materiais[[#This Row],[Data Update]])&lt;=0,0,_xlfn.DAYS(NOW(),Materiais[[#This Row],[Data Update]])))</f>
        <v>0</v>
      </c>
    </row>
    <row r="281" spans="1:21" x14ac:dyDescent="0.2">
      <c r="A281" s="46"/>
      <c r="B281" s="46"/>
      <c r="C281" s="46"/>
      <c r="D281" s="46"/>
      <c r="E281" s="46"/>
      <c r="F281" s="138"/>
      <c r="G281" s="129"/>
      <c r="H281" s="180"/>
      <c r="I281" s="5">
        <f>(Materiais[[#This Row],[Qtde.]]*Materiais[[#This Row],[Custo Unitário
Sem Tributos (R$)]])</f>
        <v>0</v>
      </c>
      <c r="J281" s="92">
        <v>0</v>
      </c>
      <c r="K281" s="140">
        <f>Materiais[[#This Row],[Custo Total
Sem Tributos (R$)]]*Materiais[[#This Row],[IPI
(%)]]+Materiais[[#This Row],[Custo Total
Sem Tributos (R$)]]</f>
        <v>0</v>
      </c>
      <c r="L281" s="92">
        <v>0.1</v>
      </c>
      <c r="M281" s="76">
        <f>Materiais[[#This Row],[Custo Total
Com IPI (R$)]]/(1-Materiais[[#This Row],[Margem
(%)]])</f>
        <v>0</v>
      </c>
      <c r="N281" s="16">
        <f>Materiais[[#This Row],[Valor Venda c/ Potencial Desconto  em Material (R$)]]-Materiais[[#This Row],[Custo Total
Com IPI (R$)]]</f>
        <v>0</v>
      </c>
      <c r="O281" s="93">
        <f>Materiais[[#This Row],[Valor Total
Com Margem
Sem Tributos   (R$)]]/(1-('Valores Finais'!$C$10))</f>
        <v>0</v>
      </c>
      <c r="P281" s="93">
        <f>Materiais[[#This Row],[Valor Venda c/ Potencial Desconto  em Material (R$)]]/(1-('Valores Finais'!$B$6))</f>
        <v>0</v>
      </c>
      <c r="Q281" s="84">
        <f>'Valores Finais'!$B$10</f>
        <v>0.12</v>
      </c>
      <c r="R281" s="76">
        <f>Materiais[[#This Row],[Valor Venda c/ Comissões (R$)]]/(1-Materiais[[#This Row],[Tributos
(%)]])-Materiais[[#This Row],[Valor Venda c/ Comissões (R$)]]</f>
        <v>0</v>
      </c>
      <c r="S281" s="76">
        <f>Materiais[[#This Row],[Valor Venda c/ Comissões (R$)]]+Materiais[[#This Row],[Tributos
(R$)]]</f>
        <v>0</v>
      </c>
      <c r="T281" s="185"/>
      <c r="U281" s="186">
        <f ca="1">IF(Materiais[[#This Row],[Data Update]] = "",0,IF(_xlfn.DAYS(NOW(),Materiais[[#This Row],[Data Update]])&lt;=0,0,_xlfn.DAYS(NOW(),Materiais[[#This Row],[Data Update]])))</f>
        <v>0</v>
      </c>
    </row>
    <row r="282" spans="1:21" x14ac:dyDescent="0.2">
      <c r="A282" s="46"/>
      <c r="B282" s="46"/>
      <c r="C282" s="46"/>
      <c r="D282" s="46"/>
      <c r="E282" s="46"/>
      <c r="F282" s="138"/>
      <c r="G282" s="129"/>
      <c r="H282" s="180"/>
      <c r="I282" s="5">
        <f>(Materiais[[#This Row],[Qtde.]]*Materiais[[#This Row],[Custo Unitário
Sem Tributos (R$)]])</f>
        <v>0</v>
      </c>
      <c r="J282" s="92">
        <v>0</v>
      </c>
      <c r="K282" s="140">
        <f>Materiais[[#This Row],[Custo Total
Sem Tributos (R$)]]*Materiais[[#This Row],[IPI
(%)]]+Materiais[[#This Row],[Custo Total
Sem Tributos (R$)]]</f>
        <v>0</v>
      </c>
      <c r="L282" s="92">
        <v>0.1</v>
      </c>
      <c r="M282" s="76">
        <f>Materiais[[#This Row],[Custo Total
Com IPI (R$)]]/(1-Materiais[[#This Row],[Margem
(%)]])</f>
        <v>0</v>
      </c>
      <c r="N282" s="16">
        <f>Materiais[[#This Row],[Valor Venda c/ Potencial Desconto  em Material (R$)]]-Materiais[[#This Row],[Custo Total
Com IPI (R$)]]</f>
        <v>0</v>
      </c>
      <c r="O282" s="93">
        <f>Materiais[[#This Row],[Valor Total
Com Margem
Sem Tributos   (R$)]]/(1-('Valores Finais'!$C$10))</f>
        <v>0</v>
      </c>
      <c r="P282" s="93">
        <f>Materiais[[#This Row],[Valor Venda c/ Potencial Desconto  em Material (R$)]]/(1-('Valores Finais'!$B$6))</f>
        <v>0</v>
      </c>
      <c r="Q282" s="84">
        <f>'Valores Finais'!$B$10</f>
        <v>0.12</v>
      </c>
      <c r="R282" s="76">
        <f>Materiais[[#This Row],[Valor Venda c/ Comissões (R$)]]/(1-Materiais[[#This Row],[Tributos
(%)]])-Materiais[[#This Row],[Valor Venda c/ Comissões (R$)]]</f>
        <v>0</v>
      </c>
      <c r="S282" s="76">
        <f>Materiais[[#This Row],[Valor Venda c/ Comissões (R$)]]+Materiais[[#This Row],[Tributos
(R$)]]</f>
        <v>0</v>
      </c>
      <c r="T282" s="185"/>
      <c r="U282" s="186">
        <f ca="1">IF(Materiais[[#This Row],[Data Update]] = "",0,IF(_xlfn.DAYS(NOW(),Materiais[[#This Row],[Data Update]])&lt;=0,0,_xlfn.DAYS(NOW(),Materiais[[#This Row],[Data Update]])))</f>
        <v>0</v>
      </c>
    </row>
    <row r="283" spans="1:21" x14ac:dyDescent="0.2">
      <c r="A283" s="46"/>
      <c r="B283" s="46"/>
      <c r="C283" s="46"/>
      <c r="D283" s="46"/>
      <c r="E283" s="46"/>
      <c r="F283" s="138"/>
      <c r="G283" s="129"/>
      <c r="H283" s="180"/>
      <c r="I283" s="5">
        <f>(Materiais[[#This Row],[Qtde.]]*Materiais[[#This Row],[Custo Unitário
Sem Tributos (R$)]])</f>
        <v>0</v>
      </c>
      <c r="J283" s="92">
        <v>0</v>
      </c>
      <c r="K283" s="140">
        <f>Materiais[[#This Row],[Custo Total
Sem Tributos (R$)]]*Materiais[[#This Row],[IPI
(%)]]+Materiais[[#This Row],[Custo Total
Sem Tributos (R$)]]</f>
        <v>0</v>
      </c>
      <c r="L283" s="92">
        <v>0.1</v>
      </c>
      <c r="M283" s="76">
        <f>Materiais[[#This Row],[Custo Total
Com IPI (R$)]]/(1-Materiais[[#This Row],[Margem
(%)]])</f>
        <v>0</v>
      </c>
      <c r="N283" s="16">
        <f>Materiais[[#This Row],[Valor Venda c/ Potencial Desconto  em Material (R$)]]-Materiais[[#This Row],[Custo Total
Com IPI (R$)]]</f>
        <v>0</v>
      </c>
      <c r="O283" s="93">
        <f>Materiais[[#This Row],[Valor Total
Com Margem
Sem Tributos   (R$)]]/(1-('Valores Finais'!$C$10))</f>
        <v>0</v>
      </c>
      <c r="P283" s="93">
        <f>Materiais[[#This Row],[Valor Venda c/ Potencial Desconto  em Material (R$)]]/(1-('Valores Finais'!$B$6))</f>
        <v>0</v>
      </c>
      <c r="Q283" s="84">
        <f>'Valores Finais'!$B$10</f>
        <v>0.12</v>
      </c>
      <c r="R283" s="76">
        <f>Materiais[[#This Row],[Valor Venda c/ Comissões (R$)]]/(1-Materiais[[#This Row],[Tributos
(%)]])-Materiais[[#This Row],[Valor Venda c/ Comissões (R$)]]</f>
        <v>0</v>
      </c>
      <c r="S283" s="76">
        <f>Materiais[[#This Row],[Valor Venda c/ Comissões (R$)]]+Materiais[[#This Row],[Tributos
(R$)]]</f>
        <v>0</v>
      </c>
      <c r="T283" s="185"/>
      <c r="U283" s="186">
        <f ca="1">IF(Materiais[[#This Row],[Data Update]] = "",0,IF(_xlfn.DAYS(NOW(),Materiais[[#This Row],[Data Update]])&lt;=0,0,_xlfn.DAYS(NOW(),Materiais[[#This Row],[Data Update]])))</f>
        <v>0</v>
      </c>
    </row>
    <row r="284" spans="1:21" x14ac:dyDescent="0.2">
      <c r="A284" s="46"/>
      <c r="B284" s="46"/>
      <c r="C284" s="46"/>
      <c r="D284" s="46"/>
      <c r="E284" s="46"/>
      <c r="F284" s="138"/>
      <c r="G284" s="129"/>
      <c r="H284" s="180"/>
      <c r="I284" s="5">
        <f>(Materiais[[#This Row],[Qtde.]]*Materiais[[#This Row],[Custo Unitário
Sem Tributos (R$)]])</f>
        <v>0</v>
      </c>
      <c r="J284" s="92">
        <v>0</v>
      </c>
      <c r="K284" s="140">
        <f>Materiais[[#This Row],[Custo Total
Sem Tributos (R$)]]*Materiais[[#This Row],[IPI
(%)]]+Materiais[[#This Row],[Custo Total
Sem Tributos (R$)]]</f>
        <v>0</v>
      </c>
      <c r="L284" s="92">
        <v>0.1</v>
      </c>
      <c r="M284" s="76">
        <f>Materiais[[#This Row],[Custo Total
Com IPI (R$)]]/(1-Materiais[[#This Row],[Margem
(%)]])</f>
        <v>0</v>
      </c>
      <c r="N284" s="16">
        <f>Materiais[[#This Row],[Valor Venda c/ Potencial Desconto  em Material (R$)]]-Materiais[[#This Row],[Custo Total
Com IPI (R$)]]</f>
        <v>0</v>
      </c>
      <c r="O284" s="93">
        <f>Materiais[[#This Row],[Valor Total
Com Margem
Sem Tributos   (R$)]]/(1-('Valores Finais'!$C$10))</f>
        <v>0</v>
      </c>
      <c r="P284" s="93">
        <f>Materiais[[#This Row],[Valor Venda c/ Potencial Desconto  em Material (R$)]]/(1-('Valores Finais'!$B$6))</f>
        <v>0</v>
      </c>
      <c r="Q284" s="84">
        <f>'Valores Finais'!$B$10</f>
        <v>0.12</v>
      </c>
      <c r="R284" s="76">
        <f>Materiais[[#This Row],[Valor Venda c/ Comissões (R$)]]/(1-Materiais[[#This Row],[Tributos
(%)]])-Materiais[[#This Row],[Valor Venda c/ Comissões (R$)]]</f>
        <v>0</v>
      </c>
      <c r="S284" s="76">
        <f>Materiais[[#This Row],[Valor Venda c/ Comissões (R$)]]+Materiais[[#This Row],[Tributos
(R$)]]</f>
        <v>0</v>
      </c>
      <c r="T284" s="185"/>
      <c r="U284" s="186">
        <f ca="1">IF(Materiais[[#This Row],[Data Update]] = "",0,IF(_xlfn.DAYS(NOW(),Materiais[[#This Row],[Data Update]])&lt;=0,0,_xlfn.DAYS(NOW(),Materiais[[#This Row],[Data Update]])))</f>
        <v>0</v>
      </c>
    </row>
    <row r="285" spans="1:21" x14ac:dyDescent="0.2">
      <c r="A285" s="46"/>
      <c r="B285" s="46"/>
      <c r="C285" s="46"/>
      <c r="D285" s="46"/>
      <c r="E285" s="46"/>
      <c r="F285" s="138"/>
      <c r="G285" s="129"/>
      <c r="H285" s="180"/>
      <c r="I285" s="5">
        <f>(Materiais[[#This Row],[Qtde.]]*Materiais[[#This Row],[Custo Unitário
Sem Tributos (R$)]])</f>
        <v>0</v>
      </c>
      <c r="J285" s="92">
        <v>0</v>
      </c>
      <c r="K285" s="140">
        <f>Materiais[[#This Row],[Custo Total
Sem Tributos (R$)]]*Materiais[[#This Row],[IPI
(%)]]+Materiais[[#This Row],[Custo Total
Sem Tributos (R$)]]</f>
        <v>0</v>
      </c>
      <c r="L285" s="92">
        <v>0.1</v>
      </c>
      <c r="M285" s="76">
        <f>Materiais[[#This Row],[Custo Total
Com IPI (R$)]]/(1-Materiais[[#This Row],[Margem
(%)]])</f>
        <v>0</v>
      </c>
      <c r="N285" s="16">
        <f>Materiais[[#This Row],[Valor Venda c/ Potencial Desconto  em Material (R$)]]-Materiais[[#This Row],[Custo Total
Com IPI (R$)]]</f>
        <v>0</v>
      </c>
      <c r="O285" s="93">
        <f>Materiais[[#This Row],[Valor Total
Com Margem
Sem Tributos   (R$)]]/(1-('Valores Finais'!$C$10))</f>
        <v>0</v>
      </c>
      <c r="P285" s="93">
        <f>Materiais[[#This Row],[Valor Venda c/ Potencial Desconto  em Material (R$)]]/(1-('Valores Finais'!$B$6))</f>
        <v>0</v>
      </c>
      <c r="Q285" s="84">
        <f>'Valores Finais'!$B$10</f>
        <v>0.12</v>
      </c>
      <c r="R285" s="76">
        <f>Materiais[[#This Row],[Valor Venda c/ Comissões (R$)]]/(1-Materiais[[#This Row],[Tributos
(%)]])-Materiais[[#This Row],[Valor Venda c/ Comissões (R$)]]</f>
        <v>0</v>
      </c>
      <c r="S285" s="76">
        <f>Materiais[[#This Row],[Valor Venda c/ Comissões (R$)]]+Materiais[[#This Row],[Tributos
(R$)]]</f>
        <v>0</v>
      </c>
      <c r="T285" s="185"/>
      <c r="U285" s="186">
        <f ca="1">IF(Materiais[[#This Row],[Data Update]] = "",0,IF(_xlfn.DAYS(NOW(),Materiais[[#This Row],[Data Update]])&lt;=0,0,_xlfn.DAYS(NOW(),Materiais[[#This Row],[Data Update]])))</f>
        <v>0</v>
      </c>
    </row>
    <row r="286" spans="1:21" x14ac:dyDescent="0.2">
      <c r="A286" s="46"/>
      <c r="B286" s="46"/>
      <c r="C286" s="46"/>
      <c r="D286" s="46"/>
      <c r="E286" s="46"/>
      <c r="F286" s="138"/>
      <c r="G286" s="129"/>
      <c r="H286" s="180"/>
      <c r="I286" s="5">
        <f>(Materiais[[#This Row],[Qtde.]]*Materiais[[#This Row],[Custo Unitário
Sem Tributos (R$)]])</f>
        <v>0</v>
      </c>
      <c r="J286" s="92">
        <v>0</v>
      </c>
      <c r="K286" s="140">
        <f>Materiais[[#This Row],[Custo Total
Sem Tributos (R$)]]*Materiais[[#This Row],[IPI
(%)]]+Materiais[[#This Row],[Custo Total
Sem Tributos (R$)]]</f>
        <v>0</v>
      </c>
      <c r="L286" s="92">
        <v>0.1</v>
      </c>
      <c r="M286" s="76">
        <f>Materiais[[#This Row],[Custo Total
Com IPI (R$)]]/(1-Materiais[[#This Row],[Margem
(%)]])</f>
        <v>0</v>
      </c>
      <c r="N286" s="16">
        <f>Materiais[[#This Row],[Valor Venda c/ Potencial Desconto  em Material (R$)]]-Materiais[[#This Row],[Custo Total
Com IPI (R$)]]</f>
        <v>0</v>
      </c>
      <c r="O286" s="93">
        <f>Materiais[[#This Row],[Valor Total
Com Margem
Sem Tributos   (R$)]]/(1-('Valores Finais'!$C$10))</f>
        <v>0</v>
      </c>
      <c r="P286" s="93">
        <f>Materiais[[#This Row],[Valor Venda c/ Potencial Desconto  em Material (R$)]]/(1-('Valores Finais'!$B$6))</f>
        <v>0</v>
      </c>
      <c r="Q286" s="84">
        <f>'Valores Finais'!$B$10</f>
        <v>0.12</v>
      </c>
      <c r="R286" s="76">
        <f>Materiais[[#This Row],[Valor Venda c/ Comissões (R$)]]/(1-Materiais[[#This Row],[Tributos
(%)]])-Materiais[[#This Row],[Valor Venda c/ Comissões (R$)]]</f>
        <v>0</v>
      </c>
      <c r="S286" s="76">
        <f>Materiais[[#This Row],[Valor Venda c/ Comissões (R$)]]+Materiais[[#This Row],[Tributos
(R$)]]</f>
        <v>0</v>
      </c>
      <c r="T286" s="185"/>
      <c r="U286" s="186">
        <f ca="1">IF(Materiais[[#This Row],[Data Update]] = "",0,IF(_xlfn.DAYS(NOW(),Materiais[[#This Row],[Data Update]])&lt;=0,0,_xlfn.DAYS(NOW(),Materiais[[#This Row],[Data Update]])))</f>
        <v>0</v>
      </c>
    </row>
    <row r="287" spans="1:21" x14ac:dyDescent="0.2">
      <c r="A287" s="46"/>
      <c r="B287" s="46"/>
      <c r="C287" s="46"/>
      <c r="D287" s="46"/>
      <c r="E287" s="46"/>
      <c r="F287" s="138"/>
      <c r="G287" s="129"/>
      <c r="H287" s="180"/>
      <c r="I287" s="5">
        <f>(Materiais[[#This Row],[Qtde.]]*Materiais[[#This Row],[Custo Unitário
Sem Tributos (R$)]])</f>
        <v>0</v>
      </c>
      <c r="J287" s="92">
        <v>0</v>
      </c>
      <c r="K287" s="140">
        <f>Materiais[[#This Row],[Custo Total
Sem Tributos (R$)]]*Materiais[[#This Row],[IPI
(%)]]+Materiais[[#This Row],[Custo Total
Sem Tributos (R$)]]</f>
        <v>0</v>
      </c>
      <c r="L287" s="92">
        <v>0.1</v>
      </c>
      <c r="M287" s="76">
        <f>Materiais[[#This Row],[Custo Total
Com IPI (R$)]]/(1-Materiais[[#This Row],[Margem
(%)]])</f>
        <v>0</v>
      </c>
      <c r="N287" s="16">
        <f>Materiais[[#This Row],[Valor Venda c/ Potencial Desconto  em Material (R$)]]-Materiais[[#This Row],[Custo Total
Com IPI (R$)]]</f>
        <v>0</v>
      </c>
      <c r="O287" s="93">
        <f>Materiais[[#This Row],[Valor Total
Com Margem
Sem Tributos   (R$)]]/(1-('Valores Finais'!$C$10))</f>
        <v>0</v>
      </c>
      <c r="P287" s="93">
        <f>Materiais[[#This Row],[Valor Venda c/ Potencial Desconto  em Material (R$)]]/(1-('Valores Finais'!$B$6))</f>
        <v>0</v>
      </c>
      <c r="Q287" s="84">
        <f>'Valores Finais'!$B$10</f>
        <v>0.12</v>
      </c>
      <c r="R287" s="76">
        <f>Materiais[[#This Row],[Valor Venda c/ Comissões (R$)]]/(1-Materiais[[#This Row],[Tributos
(%)]])-Materiais[[#This Row],[Valor Venda c/ Comissões (R$)]]</f>
        <v>0</v>
      </c>
      <c r="S287" s="76">
        <f>Materiais[[#This Row],[Valor Venda c/ Comissões (R$)]]+Materiais[[#This Row],[Tributos
(R$)]]</f>
        <v>0</v>
      </c>
      <c r="T287" s="185"/>
      <c r="U287" s="186">
        <f ca="1">IF(Materiais[[#This Row],[Data Update]] = "",0,IF(_xlfn.DAYS(NOW(),Materiais[[#This Row],[Data Update]])&lt;=0,0,_xlfn.DAYS(NOW(),Materiais[[#This Row],[Data Update]])))</f>
        <v>0</v>
      </c>
    </row>
    <row r="288" spans="1:21" x14ac:dyDescent="0.2">
      <c r="A288" s="46"/>
      <c r="B288" s="46"/>
      <c r="C288" s="46"/>
      <c r="D288" s="46"/>
      <c r="E288" s="46"/>
      <c r="F288" s="138"/>
      <c r="G288" s="129"/>
      <c r="H288" s="180"/>
      <c r="I288" s="5">
        <f>(Materiais[[#This Row],[Qtde.]]*Materiais[[#This Row],[Custo Unitário
Sem Tributos (R$)]])</f>
        <v>0</v>
      </c>
      <c r="J288" s="92">
        <v>0</v>
      </c>
      <c r="K288" s="140">
        <f>Materiais[[#This Row],[Custo Total
Sem Tributos (R$)]]*Materiais[[#This Row],[IPI
(%)]]+Materiais[[#This Row],[Custo Total
Sem Tributos (R$)]]</f>
        <v>0</v>
      </c>
      <c r="L288" s="92">
        <v>0.1</v>
      </c>
      <c r="M288" s="76">
        <f>Materiais[[#This Row],[Custo Total
Com IPI (R$)]]/(1-Materiais[[#This Row],[Margem
(%)]])</f>
        <v>0</v>
      </c>
      <c r="N288" s="16">
        <f>Materiais[[#This Row],[Valor Venda c/ Potencial Desconto  em Material (R$)]]-Materiais[[#This Row],[Custo Total
Com IPI (R$)]]</f>
        <v>0</v>
      </c>
      <c r="O288" s="93">
        <f>Materiais[[#This Row],[Valor Total
Com Margem
Sem Tributos   (R$)]]/(1-('Valores Finais'!$C$10))</f>
        <v>0</v>
      </c>
      <c r="P288" s="93">
        <f>Materiais[[#This Row],[Valor Venda c/ Potencial Desconto  em Material (R$)]]/(1-('Valores Finais'!$B$6))</f>
        <v>0</v>
      </c>
      <c r="Q288" s="84">
        <f>'Valores Finais'!$B$10</f>
        <v>0.12</v>
      </c>
      <c r="R288" s="76">
        <f>Materiais[[#This Row],[Valor Venda c/ Comissões (R$)]]/(1-Materiais[[#This Row],[Tributos
(%)]])-Materiais[[#This Row],[Valor Venda c/ Comissões (R$)]]</f>
        <v>0</v>
      </c>
      <c r="S288" s="76">
        <f>Materiais[[#This Row],[Valor Venda c/ Comissões (R$)]]+Materiais[[#This Row],[Tributos
(R$)]]</f>
        <v>0</v>
      </c>
      <c r="T288" s="185"/>
      <c r="U288" s="186">
        <f ca="1">IF(Materiais[[#This Row],[Data Update]] = "",0,IF(_xlfn.DAYS(NOW(),Materiais[[#This Row],[Data Update]])&lt;=0,0,_xlfn.DAYS(NOW(),Materiais[[#This Row],[Data Update]])))</f>
        <v>0</v>
      </c>
    </row>
    <row r="289" spans="1:21" x14ac:dyDescent="0.2">
      <c r="A289" s="46"/>
      <c r="B289" s="46"/>
      <c r="C289" s="46"/>
      <c r="D289" s="46"/>
      <c r="E289" s="46"/>
      <c r="F289" s="138"/>
      <c r="G289" s="129"/>
      <c r="H289" s="180"/>
      <c r="I289" s="5">
        <f>(Materiais[[#This Row],[Qtde.]]*Materiais[[#This Row],[Custo Unitário
Sem Tributos (R$)]])</f>
        <v>0</v>
      </c>
      <c r="J289" s="92">
        <v>0</v>
      </c>
      <c r="K289" s="140">
        <f>Materiais[[#This Row],[Custo Total
Sem Tributos (R$)]]*Materiais[[#This Row],[IPI
(%)]]+Materiais[[#This Row],[Custo Total
Sem Tributos (R$)]]</f>
        <v>0</v>
      </c>
      <c r="L289" s="92">
        <v>0.1</v>
      </c>
      <c r="M289" s="76">
        <f>Materiais[[#This Row],[Custo Total
Com IPI (R$)]]/(1-Materiais[[#This Row],[Margem
(%)]])</f>
        <v>0</v>
      </c>
      <c r="N289" s="16">
        <f>Materiais[[#This Row],[Valor Venda c/ Potencial Desconto  em Material (R$)]]-Materiais[[#This Row],[Custo Total
Com IPI (R$)]]</f>
        <v>0</v>
      </c>
      <c r="O289" s="93">
        <f>Materiais[[#This Row],[Valor Total
Com Margem
Sem Tributos   (R$)]]/(1-('Valores Finais'!$C$10))</f>
        <v>0</v>
      </c>
      <c r="P289" s="93">
        <f>Materiais[[#This Row],[Valor Venda c/ Potencial Desconto  em Material (R$)]]/(1-('Valores Finais'!$B$6))</f>
        <v>0</v>
      </c>
      <c r="Q289" s="84">
        <f>'Valores Finais'!$B$10</f>
        <v>0.12</v>
      </c>
      <c r="R289" s="76">
        <f>Materiais[[#This Row],[Valor Venda c/ Comissões (R$)]]/(1-Materiais[[#This Row],[Tributos
(%)]])-Materiais[[#This Row],[Valor Venda c/ Comissões (R$)]]</f>
        <v>0</v>
      </c>
      <c r="S289" s="76">
        <f>Materiais[[#This Row],[Valor Venda c/ Comissões (R$)]]+Materiais[[#This Row],[Tributos
(R$)]]</f>
        <v>0</v>
      </c>
      <c r="T289" s="185"/>
      <c r="U289" s="186">
        <f ca="1">IF(Materiais[[#This Row],[Data Update]] = "",0,IF(_xlfn.DAYS(NOW(),Materiais[[#This Row],[Data Update]])&lt;=0,0,_xlfn.DAYS(NOW(),Materiais[[#This Row],[Data Update]])))</f>
        <v>0</v>
      </c>
    </row>
    <row r="290" spans="1:21" s="53" customFormat="1" x14ac:dyDescent="0.2">
      <c r="A290" s="46"/>
      <c r="B290" s="46"/>
      <c r="C290" s="46"/>
      <c r="D290" s="46"/>
      <c r="E290" s="46"/>
      <c r="F290" s="138"/>
      <c r="G290" s="129"/>
      <c r="H290" s="180"/>
      <c r="I290" s="5">
        <f>(Materiais[[#This Row],[Qtde.]]*Materiais[[#This Row],[Custo Unitário
Sem Tributos (R$)]])</f>
        <v>0</v>
      </c>
      <c r="J290" s="92">
        <v>0</v>
      </c>
      <c r="K290" s="140">
        <f>Materiais[[#This Row],[Custo Total
Sem Tributos (R$)]]*Materiais[[#This Row],[IPI
(%)]]+Materiais[[#This Row],[Custo Total
Sem Tributos (R$)]]</f>
        <v>0</v>
      </c>
      <c r="L290" s="92">
        <v>0.1</v>
      </c>
      <c r="M290" s="76">
        <f>Materiais[[#This Row],[Custo Total
Com IPI (R$)]]/(1-Materiais[[#This Row],[Margem
(%)]])</f>
        <v>0</v>
      </c>
      <c r="N290" s="16">
        <f>Materiais[[#This Row],[Valor Venda c/ Potencial Desconto  em Material (R$)]]-Materiais[[#This Row],[Custo Total
Com IPI (R$)]]</f>
        <v>0</v>
      </c>
      <c r="O290" s="93">
        <f>Materiais[[#This Row],[Valor Total
Com Margem
Sem Tributos   (R$)]]/(1-('Valores Finais'!$C$10))</f>
        <v>0</v>
      </c>
      <c r="P290" s="93">
        <f>Materiais[[#This Row],[Valor Venda c/ Potencial Desconto  em Material (R$)]]/(1-('Valores Finais'!$B$6))</f>
        <v>0</v>
      </c>
      <c r="Q290" s="84">
        <f>'Valores Finais'!$B$10</f>
        <v>0.12</v>
      </c>
      <c r="R290" s="76">
        <f>Materiais[[#This Row],[Valor Venda c/ Comissões (R$)]]/(1-Materiais[[#This Row],[Tributos
(%)]])-Materiais[[#This Row],[Valor Venda c/ Comissões (R$)]]</f>
        <v>0</v>
      </c>
      <c r="S290" s="76">
        <f>Materiais[[#This Row],[Valor Venda c/ Comissões (R$)]]+Materiais[[#This Row],[Tributos
(R$)]]</f>
        <v>0</v>
      </c>
      <c r="T290" s="185"/>
      <c r="U290" s="186">
        <f ca="1">IF(Materiais[[#This Row],[Data Update]] = "",0,IF(_xlfn.DAYS(NOW(),Materiais[[#This Row],[Data Update]])&lt;=0,0,_xlfn.DAYS(NOW(),Materiais[[#This Row],[Data Update]])))</f>
        <v>0</v>
      </c>
    </row>
    <row r="291" spans="1:21" x14ac:dyDescent="0.2">
      <c r="A291" s="46"/>
      <c r="B291" s="46"/>
      <c r="C291" s="46"/>
      <c r="D291" s="46"/>
      <c r="E291" s="46"/>
      <c r="F291" s="138"/>
      <c r="G291" s="129"/>
      <c r="H291" s="180"/>
      <c r="I291" s="5">
        <f>(Materiais[[#This Row],[Qtde.]]*Materiais[[#This Row],[Custo Unitário
Sem Tributos (R$)]])</f>
        <v>0</v>
      </c>
      <c r="J291" s="92">
        <v>0</v>
      </c>
      <c r="K291" s="140">
        <f>Materiais[[#This Row],[Custo Total
Sem Tributos (R$)]]*Materiais[[#This Row],[IPI
(%)]]+Materiais[[#This Row],[Custo Total
Sem Tributos (R$)]]</f>
        <v>0</v>
      </c>
      <c r="L291" s="92">
        <v>0.1</v>
      </c>
      <c r="M291" s="76">
        <f>Materiais[[#This Row],[Custo Total
Com IPI (R$)]]/(1-Materiais[[#This Row],[Margem
(%)]])</f>
        <v>0</v>
      </c>
      <c r="N291" s="16">
        <f>Materiais[[#This Row],[Valor Venda c/ Potencial Desconto  em Material (R$)]]-Materiais[[#This Row],[Custo Total
Com IPI (R$)]]</f>
        <v>0</v>
      </c>
      <c r="O291" s="93">
        <f>Materiais[[#This Row],[Valor Total
Com Margem
Sem Tributos   (R$)]]/(1-('Valores Finais'!$C$10))</f>
        <v>0</v>
      </c>
      <c r="P291" s="93">
        <f>Materiais[[#This Row],[Valor Venda c/ Potencial Desconto  em Material (R$)]]/(1-('Valores Finais'!$B$6))</f>
        <v>0</v>
      </c>
      <c r="Q291" s="84">
        <f>'Valores Finais'!$B$10</f>
        <v>0.12</v>
      </c>
      <c r="R291" s="76">
        <f>Materiais[[#This Row],[Valor Venda c/ Comissões (R$)]]/(1-Materiais[[#This Row],[Tributos
(%)]])-Materiais[[#This Row],[Valor Venda c/ Comissões (R$)]]</f>
        <v>0</v>
      </c>
      <c r="S291" s="76">
        <f>Materiais[[#This Row],[Valor Venda c/ Comissões (R$)]]+Materiais[[#This Row],[Tributos
(R$)]]</f>
        <v>0</v>
      </c>
      <c r="T291" s="185"/>
      <c r="U291" s="186">
        <f ca="1">IF(Materiais[[#This Row],[Data Update]] = "",0,IF(_xlfn.DAYS(NOW(),Materiais[[#This Row],[Data Update]])&lt;=0,0,_xlfn.DAYS(NOW(),Materiais[[#This Row],[Data Update]])))</f>
        <v>0</v>
      </c>
    </row>
    <row r="292" spans="1:21" s="53" customFormat="1" x14ac:dyDescent="0.2">
      <c r="A292" s="46"/>
      <c r="B292" s="46"/>
      <c r="C292" s="46"/>
      <c r="D292" s="46"/>
      <c r="E292" s="46"/>
      <c r="F292" s="138"/>
      <c r="G292" s="129"/>
      <c r="H292" s="180"/>
      <c r="I292" s="5">
        <f>(Materiais[[#This Row],[Qtde.]]*Materiais[[#This Row],[Custo Unitário
Sem Tributos (R$)]])</f>
        <v>0</v>
      </c>
      <c r="J292" s="92">
        <v>0</v>
      </c>
      <c r="K292" s="140">
        <f>Materiais[[#This Row],[Custo Total
Sem Tributos (R$)]]*Materiais[[#This Row],[IPI
(%)]]+Materiais[[#This Row],[Custo Total
Sem Tributos (R$)]]</f>
        <v>0</v>
      </c>
      <c r="L292" s="92">
        <v>0.1</v>
      </c>
      <c r="M292" s="76">
        <f>Materiais[[#This Row],[Custo Total
Com IPI (R$)]]/(1-Materiais[[#This Row],[Margem
(%)]])</f>
        <v>0</v>
      </c>
      <c r="N292" s="16">
        <f>Materiais[[#This Row],[Valor Venda c/ Potencial Desconto  em Material (R$)]]-Materiais[[#This Row],[Custo Total
Com IPI (R$)]]</f>
        <v>0</v>
      </c>
      <c r="O292" s="93">
        <f>Materiais[[#This Row],[Valor Total
Com Margem
Sem Tributos   (R$)]]/(1-('Valores Finais'!$C$10))</f>
        <v>0</v>
      </c>
      <c r="P292" s="93">
        <f>Materiais[[#This Row],[Valor Venda c/ Potencial Desconto  em Material (R$)]]/(1-('Valores Finais'!$B$6))</f>
        <v>0</v>
      </c>
      <c r="Q292" s="84">
        <f>'Valores Finais'!$B$10</f>
        <v>0.12</v>
      </c>
      <c r="R292" s="76">
        <f>Materiais[[#This Row],[Valor Venda c/ Comissões (R$)]]/(1-Materiais[[#This Row],[Tributos
(%)]])-Materiais[[#This Row],[Valor Venda c/ Comissões (R$)]]</f>
        <v>0</v>
      </c>
      <c r="S292" s="76">
        <f>Materiais[[#This Row],[Valor Venda c/ Comissões (R$)]]+Materiais[[#This Row],[Tributos
(R$)]]</f>
        <v>0</v>
      </c>
      <c r="T292" s="185"/>
      <c r="U292" s="186">
        <f ca="1">IF(Materiais[[#This Row],[Data Update]] = "",0,IF(_xlfn.DAYS(NOW(),Materiais[[#This Row],[Data Update]])&lt;=0,0,_xlfn.DAYS(NOW(),Materiais[[#This Row],[Data Update]])))</f>
        <v>0</v>
      </c>
    </row>
    <row r="293" spans="1:21" s="53" customFormat="1" x14ac:dyDescent="0.2">
      <c r="A293" s="46"/>
      <c r="B293" s="46"/>
      <c r="C293" s="46"/>
      <c r="D293" s="46"/>
      <c r="E293" s="46"/>
      <c r="F293" s="138"/>
      <c r="G293" s="129"/>
      <c r="H293" s="180"/>
      <c r="I293" s="5">
        <f>(Materiais[[#This Row],[Qtde.]]*Materiais[[#This Row],[Custo Unitário
Sem Tributos (R$)]])</f>
        <v>0</v>
      </c>
      <c r="J293" s="92">
        <v>0</v>
      </c>
      <c r="K293" s="140">
        <f>Materiais[[#This Row],[Custo Total
Sem Tributos (R$)]]*Materiais[[#This Row],[IPI
(%)]]+Materiais[[#This Row],[Custo Total
Sem Tributos (R$)]]</f>
        <v>0</v>
      </c>
      <c r="L293" s="92">
        <v>0.1</v>
      </c>
      <c r="M293" s="76">
        <f>Materiais[[#This Row],[Custo Total
Com IPI (R$)]]/(1-Materiais[[#This Row],[Margem
(%)]])</f>
        <v>0</v>
      </c>
      <c r="N293" s="16">
        <f>Materiais[[#This Row],[Valor Venda c/ Potencial Desconto  em Material (R$)]]-Materiais[[#This Row],[Custo Total
Com IPI (R$)]]</f>
        <v>0</v>
      </c>
      <c r="O293" s="93">
        <f>Materiais[[#This Row],[Valor Total
Com Margem
Sem Tributos   (R$)]]/(1-('Valores Finais'!$C$10))</f>
        <v>0</v>
      </c>
      <c r="P293" s="93">
        <f>Materiais[[#This Row],[Valor Venda c/ Potencial Desconto  em Material (R$)]]/(1-('Valores Finais'!$B$6))</f>
        <v>0</v>
      </c>
      <c r="Q293" s="84">
        <f>'Valores Finais'!$B$10</f>
        <v>0.12</v>
      </c>
      <c r="R293" s="76">
        <f>Materiais[[#This Row],[Valor Venda c/ Comissões (R$)]]/(1-Materiais[[#This Row],[Tributos
(%)]])-Materiais[[#This Row],[Valor Venda c/ Comissões (R$)]]</f>
        <v>0</v>
      </c>
      <c r="S293" s="76">
        <f>Materiais[[#This Row],[Valor Venda c/ Comissões (R$)]]+Materiais[[#This Row],[Tributos
(R$)]]</f>
        <v>0</v>
      </c>
      <c r="T293" s="185"/>
      <c r="U293" s="186">
        <f ca="1">IF(Materiais[[#This Row],[Data Update]] = "",0,IF(_xlfn.DAYS(NOW(),Materiais[[#This Row],[Data Update]])&lt;=0,0,_xlfn.DAYS(NOW(),Materiais[[#This Row],[Data Update]])))</f>
        <v>0</v>
      </c>
    </row>
    <row r="294" spans="1:21" s="53" customFormat="1" x14ac:dyDescent="0.2">
      <c r="A294" s="46"/>
      <c r="B294" s="46"/>
      <c r="C294" s="46"/>
      <c r="D294" s="46"/>
      <c r="E294" s="46"/>
      <c r="F294" s="138"/>
      <c r="G294" s="129"/>
      <c r="H294" s="180"/>
      <c r="I294" s="5">
        <f>(Materiais[[#This Row],[Qtde.]]*Materiais[[#This Row],[Custo Unitário
Sem Tributos (R$)]])</f>
        <v>0</v>
      </c>
      <c r="J294" s="92">
        <v>0</v>
      </c>
      <c r="K294" s="140">
        <f>Materiais[[#This Row],[Custo Total
Sem Tributos (R$)]]*Materiais[[#This Row],[IPI
(%)]]+Materiais[[#This Row],[Custo Total
Sem Tributos (R$)]]</f>
        <v>0</v>
      </c>
      <c r="L294" s="92">
        <v>0.1</v>
      </c>
      <c r="M294" s="76">
        <f>Materiais[[#This Row],[Custo Total
Com IPI (R$)]]/(1-Materiais[[#This Row],[Margem
(%)]])</f>
        <v>0</v>
      </c>
      <c r="N294" s="16">
        <f>Materiais[[#This Row],[Valor Venda c/ Potencial Desconto  em Material (R$)]]-Materiais[[#This Row],[Custo Total
Com IPI (R$)]]</f>
        <v>0</v>
      </c>
      <c r="O294" s="93">
        <f>Materiais[[#This Row],[Valor Total
Com Margem
Sem Tributos   (R$)]]/(1-('Valores Finais'!$C$10))</f>
        <v>0</v>
      </c>
      <c r="P294" s="93">
        <f>Materiais[[#This Row],[Valor Venda c/ Potencial Desconto  em Material (R$)]]/(1-('Valores Finais'!$B$6))</f>
        <v>0</v>
      </c>
      <c r="Q294" s="84">
        <f>'Valores Finais'!$B$10</f>
        <v>0.12</v>
      </c>
      <c r="R294" s="76">
        <f>Materiais[[#This Row],[Valor Venda c/ Comissões (R$)]]/(1-Materiais[[#This Row],[Tributos
(%)]])-Materiais[[#This Row],[Valor Venda c/ Comissões (R$)]]</f>
        <v>0</v>
      </c>
      <c r="S294" s="76">
        <f>Materiais[[#This Row],[Valor Venda c/ Comissões (R$)]]+Materiais[[#This Row],[Tributos
(R$)]]</f>
        <v>0</v>
      </c>
      <c r="T294" s="185"/>
      <c r="U294" s="186">
        <f ca="1">IF(Materiais[[#This Row],[Data Update]] = "",0,IF(_xlfn.DAYS(NOW(),Materiais[[#This Row],[Data Update]])&lt;=0,0,_xlfn.DAYS(NOW(),Materiais[[#This Row],[Data Update]])))</f>
        <v>0</v>
      </c>
    </row>
    <row r="295" spans="1:21" x14ac:dyDescent="0.2">
      <c r="A295" s="46"/>
      <c r="B295" s="46"/>
      <c r="C295" s="46"/>
      <c r="D295" s="46"/>
      <c r="E295" s="46"/>
      <c r="F295" s="138"/>
      <c r="G295" s="129"/>
      <c r="H295" s="180"/>
      <c r="I295" s="5">
        <f>(Materiais[[#This Row],[Qtde.]]*Materiais[[#This Row],[Custo Unitário
Sem Tributos (R$)]])</f>
        <v>0</v>
      </c>
      <c r="J295" s="92">
        <v>0</v>
      </c>
      <c r="K295" s="140">
        <f>Materiais[[#This Row],[Custo Total
Sem Tributos (R$)]]*Materiais[[#This Row],[IPI
(%)]]+Materiais[[#This Row],[Custo Total
Sem Tributos (R$)]]</f>
        <v>0</v>
      </c>
      <c r="L295" s="92">
        <v>0.1</v>
      </c>
      <c r="M295" s="76">
        <f>Materiais[[#This Row],[Custo Total
Com IPI (R$)]]/(1-Materiais[[#This Row],[Margem
(%)]])</f>
        <v>0</v>
      </c>
      <c r="N295" s="16">
        <f>Materiais[[#This Row],[Valor Venda c/ Potencial Desconto  em Material (R$)]]-Materiais[[#This Row],[Custo Total
Com IPI (R$)]]</f>
        <v>0</v>
      </c>
      <c r="O295" s="93">
        <f>Materiais[[#This Row],[Valor Total
Com Margem
Sem Tributos   (R$)]]/(1-('Valores Finais'!$C$10))</f>
        <v>0</v>
      </c>
      <c r="P295" s="93">
        <f>Materiais[[#This Row],[Valor Venda c/ Potencial Desconto  em Material (R$)]]/(1-('Valores Finais'!$B$6))</f>
        <v>0</v>
      </c>
      <c r="Q295" s="84">
        <f>'Valores Finais'!$B$10</f>
        <v>0.12</v>
      </c>
      <c r="R295" s="76">
        <f>Materiais[[#This Row],[Valor Venda c/ Comissões (R$)]]/(1-Materiais[[#This Row],[Tributos
(%)]])-Materiais[[#This Row],[Valor Venda c/ Comissões (R$)]]</f>
        <v>0</v>
      </c>
      <c r="S295" s="76">
        <f>Materiais[[#This Row],[Valor Venda c/ Comissões (R$)]]+Materiais[[#This Row],[Tributos
(R$)]]</f>
        <v>0</v>
      </c>
      <c r="T295" s="185"/>
      <c r="U295" s="186">
        <f ca="1">IF(Materiais[[#This Row],[Data Update]] = "",0,IF(_xlfn.DAYS(NOW(),Materiais[[#This Row],[Data Update]])&lt;=0,0,_xlfn.DAYS(NOW(),Materiais[[#This Row],[Data Update]])))</f>
        <v>0</v>
      </c>
    </row>
    <row r="296" spans="1:21" x14ac:dyDescent="0.2">
      <c r="A296" s="46"/>
      <c r="B296" s="46"/>
      <c r="C296" s="46"/>
      <c r="D296" s="46"/>
      <c r="E296" s="46"/>
      <c r="F296" s="138"/>
      <c r="G296" s="129"/>
      <c r="H296" s="180"/>
      <c r="I296" s="5">
        <f>(Materiais[[#This Row],[Qtde.]]*Materiais[[#This Row],[Custo Unitário
Sem Tributos (R$)]])</f>
        <v>0</v>
      </c>
      <c r="J296" s="92">
        <v>0</v>
      </c>
      <c r="K296" s="140">
        <f>Materiais[[#This Row],[Custo Total
Sem Tributos (R$)]]*Materiais[[#This Row],[IPI
(%)]]+Materiais[[#This Row],[Custo Total
Sem Tributos (R$)]]</f>
        <v>0</v>
      </c>
      <c r="L296" s="92">
        <v>0.1</v>
      </c>
      <c r="M296" s="76">
        <f>Materiais[[#This Row],[Custo Total
Com IPI (R$)]]/(1-Materiais[[#This Row],[Margem
(%)]])</f>
        <v>0</v>
      </c>
      <c r="N296" s="16">
        <f>Materiais[[#This Row],[Valor Venda c/ Potencial Desconto  em Material (R$)]]-Materiais[[#This Row],[Custo Total
Com IPI (R$)]]</f>
        <v>0</v>
      </c>
      <c r="O296" s="93">
        <f>Materiais[[#This Row],[Valor Total
Com Margem
Sem Tributos   (R$)]]/(1-('Valores Finais'!$C$10))</f>
        <v>0</v>
      </c>
      <c r="P296" s="93">
        <f>Materiais[[#This Row],[Valor Venda c/ Potencial Desconto  em Material (R$)]]/(1-('Valores Finais'!$B$6))</f>
        <v>0</v>
      </c>
      <c r="Q296" s="84">
        <f>'Valores Finais'!$B$10</f>
        <v>0.12</v>
      </c>
      <c r="R296" s="76">
        <f>Materiais[[#This Row],[Valor Venda c/ Comissões (R$)]]/(1-Materiais[[#This Row],[Tributos
(%)]])-Materiais[[#This Row],[Valor Venda c/ Comissões (R$)]]</f>
        <v>0</v>
      </c>
      <c r="S296" s="76">
        <f>Materiais[[#This Row],[Valor Venda c/ Comissões (R$)]]+Materiais[[#This Row],[Tributos
(R$)]]</f>
        <v>0</v>
      </c>
      <c r="T296" s="185"/>
      <c r="U296" s="186">
        <f ca="1">IF(Materiais[[#This Row],[Data Update]] = "",0,IF(_xlfn.DAYS(NOW(),Materiais[[#This Row],[Data Update]])&lt;=0,0,_xlfn.DAYS(NOW(),Materiais[[#This Row],[Data Update]])))</f>
        <v>0</v>
      </c>
    </row>
    <row r="297" spans="1:21" x14ac:dyDescent="0.2">
      <c r="A297" s="46"/>
      <c r="B297" s="46"/>
      <c r="C297" s="46"/>
      <c r="D297" s="46"/>
      <c r="E297" s="46"/>
      <c r="F297" s="138"/>
      <c r="G297" s="129"/>
      <c r="H297" s="180"/>
      <c r="I297" s="5">
        <f>(Materiais[[#This Row],[Qtde.]]*Materiais[[#This Row],[Custo Unitário
Sem Tributos (R$)]])</f>
        <v>0</v>
      </c>
      <c r="J297" s="92">
        <v>0</v>
      </c>
      <c r="K297" s="140">
        <f>Materiais[[#This Row],[Custo Total
Sem Tributos (R$)]]*Materiais[[#This Row],[IPI
(%)]]+Materiais[[#This Row],[Custo Total
Sem Tributos (R$)]]</f>
        <v>0</v>
      </c>
      <c r="L297" s="92">
        <v>0.1</v>
      </c>
      <c r="M297" s="76">
        <f>Materiais[[#This Row],[Custo Total
Com IPI (R$)]]/(1-Materiais[[#This Row],[Margem
(%)]])</f>
        <v>0</v>
      </c>
      <c r="N297" s="16">
        <f>Materiais[[#This Row],[Valor Venda c/ Potencial Desconto  em Material (R$)]]-Materiais[[#This Row],[Custo Total
Com IPI (R$)]]</f>
        <v>0</v>
      </c>
      <c r="O297" s="93">
        <f>Materiais[[#This Row],[Valor Total
Com Margem
Sem Tributos   (R$)]]/(1-('Valores Finais'!$C$10))</f>
        <v>0</v>
      </c>
      <c r="P297" s="93">
        <f>Materiais[[#This Row],[Valor Venda c/ Potencial Desconto  em Material (R$)]]/(1-('Valores Finais'!$B$6))</f>
        <v>0</v>
      </c>
      <c r="Q297" s="84">
        <f>'Valores Finais'!$B$10</f>
        <v>0.12</v>
      </c>
      <c r="R297" s="76">
        <f>Materiais[[#This Row],[Valor Venda c/ Comissões (R$)]]/(1-Materiais[[#This Row],[Tributos
(%)]])-Materiais[[#This Row],[Valor Venda c/ Comissões (R$)]]</f>
        <v>0</v>
      </c>
      <c r="S297" s="76">
        <f>Materiais[[#This Row],[Valor Venda c/ Comissões (R$)]]+Materiais[[#This Row],[Tributos
(R$)]]</f>
        <v>0</v>
      </c>
      <c r="T297" s="185"/>
      <c r="U297" s="186">
        <f ca="1">IF(Materiais[[#This Row],[Data Update]] = "",0,IF(_xlfn.DAYS(NOW(),Materiais[[#This Row],[Data Update]])&lt;=0,0,_xlfn.DAYS(NOW(),Materiais[[#This Row],[Data Update]])))</f>
        <v>0</v>
      </c>
    </row>
    <row r="298" spans="1:21" x14ac:dyDescent="0.2">
      <c r="A298" s="46"/>
      <c r="B298" s="46"/>
      <c r="C298" s="46"/>
      <c r="D298" s="46"/>
      <c r="E298" s="46"/>
      <c r="F298" s="138"/>
      <c r="G298" s="129"/>
      <c r="H298" s="180"/>
      <c r="I298" s="5">
        <f>(Materiais[[#This Row],[Qtde.]]*Materiais[[#This Row],[Custo Unitário
Sem Tributos (R$)]])</f>
        <v>0</v>
      </c>
      <c r="J298" s="92">
        <v>0</v>
      </c>
      <c r="K298" s="140">
        <f>Materiais[[#This Row],[Custo Total
Sem Tributos (R$)]]*Materiais[[#This Row],[IPI
(%)]]+Materiais[[#This Row],[Custo Total
Sem Tributos (R$)]]</f>
        <v>0</v>
      </c>
      <c r="L298" s="92">
        <v>0.1</v>
      </c>
      <c r="M298" s="76">
        <f>Materiais[[#This Row],[Custo Total
Com IPI (R$)]]/(1-Materiais[[#This Row],[Margem
(%)]])</f>
        <v>0</v>
      </c>
      <c r="N298" s="16">
        <f>Materiais[[#This Row],[Valor Venda c/ Potencial Desconto  em Material (R$)]]-Materiais[[#This Row],[Custo Total
Com IPI (R$)]]</f>
        <v>0</v>
      </c>
      <c r="O298" s="93">
        <f>Materiais[[#This Row],[Valor Total
Com Margem
Sem Tributos   (R$)]]/(1-('Valores Finais'!$C$10))</f>
        <v>0</v>
      </c>
      <c r="P298" s="93">
        <f>Materiais[[#This Row],[Valor Venda c/ Potencial Desconto  em Material (R$)]]/(1-('Valores Finais'!$B$6))</f>
        <v>0</v>
      </c>
      <c r="Q298" s="84">
        <f>'Valores Finais'!$B$10</f>
        <v>0.12</v>
      </c>
      <c r="R298" s="76">
        <f>Materiais[[#This Row],[Valor Venda c/ Comissões (R$)]]/(1-Materiais[[#This Row],[Tributos
(%)]])-Materiais[[#This Row],[Valor Venda c/ Comissões (R$)]]</f>
        <v>0</v>
      </c>
      <c r="S298" s="76">
        <f>Materiais[[#This Row],[Valor Venda c/ Comissões (R$)]]+Materiais[[#This Row],[Tributos
(R$)]]</f>
        <v>0</v>
      </c>
      <c r="T298" s="185"/>
      <c r="U298" s="186">
        <f ca="1">IF(Materiais[[#This Row],[Data Update]] = "",0,IF(_xlfn.DAYS(NOW(),Materiais[[#This Row],[Data Update]])&lt;=0,0,_xlfn.DAYS(NOW(),Materiais[[#This Row],[Data Update]])))</f>
        <v>0</v>
      </c>
    </row>
    <row r="299" spans="1:21" x14ac:dyDescent="0.2">
      <c r="A299" s="46"/>
      <c r="B299" s="46"/>
      <c r="C299" s="46"/>
      <c r="D299" s="46"/>
      <c r="E299" s="46"/>
      <c r="F299" s="138"/>
      <c r="G299" s="129"/>
      <c r="H299" s="180"/>
      <c r="I299" s="5">
        <f>(Materiais[[#This Row],[Qtde.]]*Materiais[[#This Row],[Custo Unitário
Sem Tributos (R$)]])</f>
        <v>0</v>
      </c>
      <c r="J299" s="92">
        <v>0</v>
      </c>
      <c r="K299" s="140">
        <f>Materiais[[#This Row],[Custo Total
Sem Tributos (R$)]]*Materiais[[#This Row],[IPI
(%)]]+Materiais[[#This Row],[Custo Total
Sem Tributos (R$)]]</f>
        <v>0</v>
      </c>
      <c r="L299" s="92">
        <v>0.1</v>
      </c>
      <c r="M299" s="76">
        <f>Materiais[[#This Row],[Custo Total
Com IPI (R$)]]/(1-Materiais[[#This Row],[Margem
(%)]])</f>
        <v>0</v>
      </c>
      <c r="N299" s="16">
        <f>Materiais[[#This Row],[Valor Venda c/ Potencial Desconto  em Material (R$)]]-Materiais[[#This Row],[Custo Total
Com IPI (R$)]]</f>
        <v>0</v>
      </c>
      <c r="O299" s="93">
        <f>Materiais[[#This Row],[Valor Total
Com Margem
Sem Tributos   (R$)]]/(1-('Valores Finais'!$C$10))</f>
        <v>0</v>
      </c>
      <c r="P299" s="93">
        <f>Materiais[[#This Row],[Valor Venda c/ Potencial Desconto  em Material (R$)]]/(1-('Valores Finais'!$B$6))</f>
        <v>0</v>
      </c>
      <c r="Q299" s="84">
        <f>'Valores Finais'!$B$10</f>
        <v>0.12</v>
      </c>
      <c r="R299" s="76">
        <f>Materiais[[#This Row],[Valor Venda c/ Comissões (R$)]]/(1-Materiais[[#This Row],[Tributos
(%)]])-Materiais[[#This Row],[Valor Venda c/ Comissões (R$)]]</f>
        <v>0</v>
      </c>
      <c r="S299" s="76">
        <f>Materiais[[#This Row],[Valor Venda c/ Comissões (R$)]]+Materiais[[#This Row],[Tributos
(R$)]]</f>
        <v>0</v>
      </c>
      <c r="T299" s="185"/>
      <c r="U299" s="186">
        <f ca="1">IF(Materiais[[#This Row],[Data Update]] = "",0,IF(_xlfn.DAYS(NOW(),Materiais[[#This Row],[Data Update]])&lt;=0,0,_xlfn.DAYS(NOW(),Materiais[[#This Row],[Data Update]])))</f>
        <v>0</v>
      </c>
    </row>
    <row r="300" spans="1:21" x14ac:dyDescent="0.2">
      <c r="A300" s="46"/>
      <c r="B300" s="46"/>
      <c r="C300" s="46"/>
      <c r="D300" s="46"/>
      <c r="E300" s="46"/>
      <c r="F300" s="138"/>
      <c r="G300" s="129"/>
      <c r="H300" s="180"/>
      <c r="I300" s="5">
        <f>(Materiais[[#This Row],[Qtde.]]*Materiais[[#This Row],[Custo Unitário
Sem Tributos (R$)]])</f>
        <v>0</v>
      </c>
      <c r="J300" s="92">
        <v>0</v>
      </c>
      <c r="K300" s="140">
        <f>Materiais[[#This Row],[Custo Total
Sem Tributos (R$)]]*Materiais[[#This Row],[IPI
(%)]]+Materiais[[#This Row],[Custo Total
Sem Tributos (R$)]]</f>
        <v>0</v>
      </c>
      <c r="L300" s="92">
        <v>0.1</v>
      </c>
      <c r="M300" s="76">
        <f>Materiais[[#This Row],[Custo Total
Com IPI (R$)]]/(1-Materiais[[#This Row],[Margem
(%)]])</f>
        <v>0</v>
      </c>
      <c r="N300" s="16">
        <f>Materiais[[#This Row],[Valor Venda c/ Potencial Desconto  em Material (R$)]]-Materiais[[#This Row],[Custo Total
Com IPI (R$)]]</f>
        <v>0</v>
      </c>
      <c r="O300" s="93">
        <f>Materiais[[#This Row],[Valor Total
Com Margem
Sem Tributos   (R$)]]/(1-('Valores Finais'!$C$10))</f>
        <v>0</v>
      </c>
      <c r="P300" s="93">
        <f>Materiais[[#This Row],[Valor Venda c/ Potencial Desconto  em Material (R$)]]/(1-('Valores Finais'!$B$6))</f>
        <v>0</v>
      </c>
      <c r="Q300" s="84">
        <f>'Valores Finais'!$B$10</f>
        <v>0.12</v>
      </c>
      <c r="R300" s="76">
        <f>Materiais[[#This Row],[Valor Venda c/ Comissões (R$)]]/(1-Materiais[[#This Row],[Tributos
(%)]])-Materiais[[#This Row],[Valor Venda c/ Comissões (R$)]]</f>
        <v>0</v>
      </c>
      <c r="S300" s="76">
        <f>Materiais[[#This Row],[Valor Venda c/ Comissões (R$)]]+Materiais[[#This Row],[Tributos
(R$)]]</f>
        <v>0</v>
      </c>
      <c r="T300" s="185"/>
      <c r="U300" s="186">
        <f ca="1">IF(Materiais[[#This Row],[Data Update]] = "",0,IF(_xlfn.DAYS(NOW(),Materiais[[#This Row],[Data Update]])&lt;=0,0,_xlfn.DAYS(NOW(),Materiais[[#This Row],[Data Update]])))</f>
        <v>0</v>
      </c>
    </row>
    <row r="301" spans="1:21" x14ac:dyDescent="0.2">
      <c r="A301" s="46"/>
      <c r="B301" s="46"/>
      <c r="C301" s="46"/>
      <c r="D301" s="46"/>
      <c r="E301" s="46"/>
      <c r="F301" s="138"/>
      <c r="G301" s="129"/>
      <c r="H301" s="180"/>
      <c r="I301" s="5">
        <f>(Materiais[[#This Row],[Qtde.]]*Materiais[[#This Row],[Custo Unitário
Sem Tributos (R$)]])</f>
        <v>0</v>
      </c>
      <c r="J301" s="92">
        <v>0</v>
      </c>
      <c r="K301" s="140">
        <f>Materiais[[#This Row],[Custo Total
Sem Tributos (R$)]]*Materiais[[#This Row],[IPI
(%)]]+Materiais[[#This Row],[Custo Total
Sem Tributos (R$)]]</f>
        <v>0</v>
      </c>
      <c r="L301" s="92">
        <v>0.1</v>
      </c>
      <c r="M301" s="76">
        <f>Materiais[[#This Row],[Custo Total
Com IPI (R$)]]/(1-Materiais[[#This Row],[Margem
(%)]])</f>
        <v>0</v>
      </c>
      <c r="N301" s="16">
        <f>Materiais[[#This Row],[Valor Venda c/ Potencial Desconto  em Material (R$)]]-Materiais[[#This Row],[Custo Total
Com IPI (R$)]]</f>
        <v>0</v>
      </c>
      <c r="O301" s="93">
        <f>Materiais[[#This Row],[Valor Total
Com Margem
Sem Tributos   (R$)]]/(1-('Valores Finais'!$C$10))</f>
        <v>0</v>
      </c>
      <c r="P301" s="93">
        <f>Materiais[[#This Row],[Valor Venda c/ Potencial Desconto  em Material (R$)]]/(1-('Valores Finais'!$B$6))</f>
        <v>0</v>
      </c>
      <c r="Q301" s="84">
        <f>'Valores Finais'!$B$10</f>
        <v>0.12</v>
      </c>
      <c r="R301" s="76">
        <f>Materiais[[#This Row],[Valor Venda c/ Comissões (R$)]]/(1-Materiais[[#This Row],[Tributos
(%)]])-Materiais[[#This Row],[Valor Venda c/ Comissões (R$)]]</f>
        <v>0</v>
      </c>
      <c r="S301" s="76">
        <f>Materiais[[#This Row],[Valor Venda c/ Comissões (R$)]]+Materiais[[#This Row],[Tributos
(R$)]]</f>
        <v>0</v>
      </c>
      <c r="T301" s="185"/>
      <c r="U301" s="186">
        <f ca="1">IF(Materiais[[#This Row],[Data Update]] = "",0,IF(_xlfn.DAYS(NOW(),Materiais[[#This Row],[Data Update]])&lt;=0,0,_xlfn.DAYS(NOW(),Materiais[[#This Row],[Data Update]])))</f>
        <v>0</v>
      </c>
    </row>
    <row r="302" spans="1:21" x14ac:dyDescent="0.2">
      <c r="A302" s="46"/>
      <c r="B302" s="46"/>
      <c r="C302" s="46"/>
      <c r="D302" s="46"/>
      <c r="E302" s="46"/>
      <c r="F302" s="138"/>
      <c r="G302" s="129"/>
      <c r="H302" s="180"/>
      <c r="I302" s="5">
        <f>(Materiais[[#This Row],[Qtde.]]*Materiais[[#This Row],[Custo Unitário
Sem Tributos (R$)]])</f>
        <v>0</v>
      </c>
      <c r="J302" s="92">
        <v>0</v>
      </c>
      <c r="K302" s="140">
        <f>Materiais[[#This Row],[Custo Total
Sem Tributos (R$)]]*Materiais[[#This Row],[IPI
(%)]]+Materiais[[#This Row],[Custo Total
Sem Tributos (R$)]]</f>
        <v>0</v>
      </c>
      <c r="L302" s="92">
        <v>0.1</v>
      </c>
      <c r="M302" s="76">
        <f>Materiais[[#This Row],[Custo Total
Com IPI (R$)]]/(1-Materiais[[#This Row],[Margem
(%)]])</f>
        <v>0</v>
      </c>
      <c r="N302" s="16">
        <f>Materiais[[#This Row],[Valor Venda c/ Potencial Desconto  em Material (R$)]]-Materiais[[#This Row],[Custo Total
Com IPI (R$)]]</f>
        <v>0</v>
      </c>
      <c r="O302" s="93">
        <f>Materiais[[#This Row],[Valor Total
Com Margem
Sem Tributos   (R$)]]/(1-('Valores Finais'!$C$10))</f>
        <v>0</v>
      </c>
      <c r="P302" s="93">
        <f>Materiais[[#This Row],[Valor Venda c/ Potencial Desconto  em Material (R$)]]/(1-('Valores Finais'!$B$6))</f>
        <v>0</v>
      </c>
      <c r="Q302" s="84">
        <f>'Valores Finais'!$B$10</f>
        <v>0.12</v>
      </c>
      <c r="R302" s="76">
        <f>Materiais[[#This Row],[Valor Venda c/ Comissões (R$)]]/(1-Materiais[[#This Row],[Tributos
(%)]])-Materiais[[#This Row],[Valor Venda c/ Comissões (R$)]]</f>
        <v>0</v>
      </c>
      <c r="S302" s="76">
        <f>Materiais[[#This Row],[Valor Venda c/ Comissões (R$)]]+Materiais[[#This Row],[Tributos
(R$)]]</f>
        <v>0</v>
      </c>
      <c r="T302" s="185"/>
      <c r="U302" s="186">
        <f ca="1">IF(Materiais[[#This Row],[Data Update]] = "",0,IF(_xlfn.DAYS(NOW(),Materiais[[#This Row],[Data Update]])&lt;=0,0,_xlfn.DAYS(NOW(),Materiais[[#This Row],[Data Update]])))</f>
        <v>0</v>
      </c>
    </row>
    <row r="303" spans="1:21" x14ac:dyDescent="0.2">
      <c r="A303" s="46"/>
      <c r="B303" s="46"/>
      <c r="C303" s="46"/>
      <c r="D303" s="46"/>
      <c r="E303" s="46"/>
      <c r="F303" s="138"/>
      <c r="G303" s="129"/>
      <c r="H303" s="180"/>
      <c r="I303" s="5">
        <f>(Materiais[[#This Row],[Qtde.]]*Materiais[[#This Row],[Custo Unitário
Sem Tributos (R$)]])</f>
        <v>0</v>
      </c>
      <c r="J303" s="92">
        <v>0</v>
      </c>
      <c r="K303" s="140">
        <f>Materiais[[#This Row],[Custo Total
Sem Tributos (R$)]]*Materiais[[#This Row],[IPI
(%)]]+Materiais[[#This Row],[Custo Total
Sem Tributos (R$)]]</f>
        <v>0</v>
      </c>
      <c r="L303" s="92">
        <v>0.1</v>
      </c>
      <c r="M303" s="76">
        <f>Materiais[[#This Row],[Custo Total
Com IPI (R$)]]/(1-Materiais[[#This Row],[Margem
(%)]])</f>
        <v>0</v>
      </c>
      <c r="N303" s="16">
        <f>Materiais[[#This Row],[Valor Venda c/ Potencial Desconto  em Material (R$)]]-Materiais[[#This Row],[Custo Total
Com IPI (R$)]]</f>
        <v>0</v>
      </c>
      <c r="O303" s="93">
        <f>Materiais[[#This Row],[Valor Total
Com Margem
Sem Tributos   (R$)]]/(1-('Valores Finais'!$C$10))</f>
        <v>0</v>
      </c>
      <c r="P303" s="93">
        <f>Materiais[[#This Row],[Valor Venda c/ Potencial Desconto  em Material (R$)]]/(1-('Valores Finais'!$B$6))</f>
        <v>0</v>
      </c>
      <c r="Q303" s="84">
        <f>'Valores Finais'!$B$10</f>
        <v>0.12</v>
      </c>
      <c r="R303" s="76">
        <f>Materiais[[#This Row],[Valor Venda c/ Comissões (R$)]]/(1-Materiais[[#This Row],[Tributos
(%)]])-Materiais[[#This Row],[Valor Venda c/ Comissões (R$)]]</f>
        <v>0</v>
      </c>
      <c r="S303" s="76">
        <f>Materiais[[#This Row],[Valor Venda c/ Comissões (R$)]]+Materiais[[#This Row],[Tributos
(R$)]]</f>
        <v>0</v>
      </c>
      <c r="T303" s="185"/>
      <c r="U303" s="186">
        <f ca="1">IF(Materiais[[#This Row],[Data Update]] = "",0,IF(_xlfn.DAYS(NOW(),Materiais[[#This Row],[Data Update]])&lt;=0,0,_xlfn.DAYS(NOW(),Materiais[[#This Row],[Data Update]])))</f>
        <v>0</v>
      </c>
    </row>
    <row r="304" spans="1:21" x14ac:dyDescent="0.2">
      <c r="A304" s="46"/>
      <c r="B304" s="46"/>
      <c r="C304" s="46"/>
      <c r="D304" s="46"/>
      <c r="E304" s="46"/>
      <c r="F304" s="138"/>
      <c r="G304" s="129"/>
      <c r="H304" s="180"/>
      <c r="I304" s="5">
        <f>(Materiais[[#This Row],[Qtde.]]*Materiais[[#This Row],[Custo Unitário
Sem Tributos (R$)]])</f>
        <v>0</v>
      </c>
      <c r="J304" s="92">
        <v>0</v>
      </c>
      <c r="K304" s="140">
        <f>Materiais[[#This Row],[Custo Total
Sem Tributos (R$)]]*Materiais[[#This Row],[IPI
(%)]]+Materiais[[#This Row],[Custo Total
Sem Tributos (R$)]]</f>
        <v>0</v>
      </c>
      <c r="L304" s="92">
        <v>0.1</v>
      </c>
      <c r="M304" s="76">
        <f>Materiais[[#This Row],[Custo Total
Com IPI (R$)]]/(1-Materiais[[#This Row],[Margem
(%)]])</f>
        <v>0</v>
      </c>
      <c r="N304" s="16">
        <f>Materiais[[#This Row],[Valor Venda c/ Potencial Desconto  em Material (R$)]]-Materiais[[#This Row],[Custo Total
Com IPI (R$)]]</f>
        <v>0</v>
      </c>
      <c r="O304" s="93">
        <f>Materiais[[#This Row],[Valor Total
Com Margem
Sem Tributos   (R$)]]/(1-('Valores Finais'!$C$10))</f>
        <v>0</v>
      </c>
      <c r="P304" s="93">
        <f>Materiais[[#This Row],[Valor Venda c/ Potencial Desconto  em Material (R$)]]/(1-('Valores Finais'!$B$6))</f>
        <v>0</v>
      </c>
      <c r="Q304" s="84">
        <f>'Valores Finais'!$B$10</f>
        <v>0.12</v>
      </c>
      <c r="R304" s="76">
        <f>Materiais[[#This Row],[Valor Venda c/ Comissões (R$)]]/(1-Materiais[[#This Row],[Tributos
(%)]])-Materiais[[#This Row],[Valor Venda c/ Comissões (R$)]]</f>
        <v>0</v>
      </c>
      <c r="S304" s="76">
        <f>Materiais[[#This Row],[Valor Venda c/ Comissões (R$)]]+Materiais[[#This Row],[Tributos
(R$)]]</f>
        <v>0</v>
      </c>
      <c r="T304" s="185"/>
      <c r="U304" s="186">
        <f ca="1">IF(Materiais[[#This Row],[Data Update]] = "",0,IF(_xlfn.DAYS(NOW(),Materiais[[#This Row],[Data Update]])&lt;=0,0,_xlfn.DAYS(NOW(),Materiais[[#This Row],[Data Update]])))</f>
        <v>0</v>
      </c>
    </row>
    <row r="305" spans="1:21" x14ac:dyDescent="0.2">
      <c r="A305" s="46"/>
      <c r="B305" s="46"/>
      <c r="C305" s="46"/>
      <c r="D305" s="46"/>
      <c r="E305" s="46"/>
      <c r="F305" s="138"/>
      <c r="G305" s="129"/>
      <c r="H305" s="180"/>
      <c r="I305" s="5">
        <f>(Materiais[[#This Row],[Qtde.]]*Materiais[[#This Row],[Custo Unitário
Sem Tributos (R$)]])</f>
        <v>0</v>
      </c>
      <c r="J305" s="92">
        <v>0</v>
      </c>
      <c r="K305" s="140">
        <f>Materiais[[#This Row],[Custo Total
Sem Tributos (R$)]]*Materiais[[#This Row],[IPI
(%)]]+Materiais[[#This Row],[Custo Total
Sem Tributos (R$)]]</f>
        <v>0</v>
      </c>
      <c r="L305" s="92">
        <v>0.1</v>
      </c>
      <c r="M305" s="76">
        <f>Materiais[[#This Row],[Custo Total
Com IPI (R$)]]/(1-Materiais[[#This Row],[Margem
(%)]])</f>
        <v>0</v>
      </c>
      <c r="N305" s="16">
        <f>Materiais[[#This Row],[Valor Venda c/ Potencial Desconto  em Material (R$)]]-Materiais[[#This Row],[Custo Total
Com IPI (R$)]]</f>
        <v>0</v>
      </c>
      <c r="O305" s="93">
        <f>Materiais[[#This Row],[Valor Total
Com Margem
Sem Tributos   (R$)]]/(1-('Valores Finais'!$C$10))</f>
        <v>0</v>
      </c>
      <c r="P305" s="93">
        <f>Materiais[[#This Row],[Valor Venda c/ Potencial Desconto  em Material (R$)]]/(1-('Valores Finais'!$B$6))</f>
        <v>0</v>
      </c>
      <c r="Q305" s="84">
        <f>'Valores Finais'!$B$10</f>
        <v>0.12</v>
      </c>
      <c r="R305" s="76">
        <f>Materiais[[#This Row],[Valor Venda c/ Comissões (R$)]]/(1-Materiais[[#This Row],[Tributos
(%)]])-Materiais[[#This Row],[Valor Venda c/ Comissões (R$)]]</f>
        <v>0</v>
      </c>
      <c r="S305" s="76">
        <f>Materiais[[#This Row],[Valor Venda c/ Comissões (R$)]]+Materiais[[#This Row],[Tributos
(R$)]]</f>
        <v>0</v>
      </c>
      <c r="T305" s="185"/>
      <c r="U305" s="186">
        <f ca="1">IF(Materiais[[#This Row],[Data Update]] = "",0,IF(_xlfn.DAYS(NOW(),Materiais[[#This Row],[Data Update]])&lt;=0,0,_xlfn.DAYS(NOW(),Materiais[[#This Row],[Data Update]])))</f>
        <v>0</v>
      </c>
    </row>
    <row r="306" spans="1:21" x14ac:dyDescent="0.2">
      <c r="A306" s="46"/>
      <c r="B306" s="46"/>
      <c r="C306" s="46"/>
      <c r="D306" s="46"/>
      <c r="E306" s="46"/>
      <c r="F306" s="138"/>
      <c r="G306" s="129"/>
      <c r="H306" s="180"/>
      <c r="I306" s="5">
        <f>(Materiais[[#This Row],[Qtde.]]*Materiais[[#This Row],[Custo Unitário
Sem Tributos (R$)]])</f>
        <v>0</v>
      </c>
      <c r="J306" s="92">
        <v>0</v>
      </c>
      <c r="K306" s="140">
        <f>Materiais[[#This Row],[Custo Total
Sem Tributos (R$)]]*Materiais[[#This Row],[IPI
(%)]]+Materiais[[#This Row],[Custo Total
Sem Tributos (R$)]]</f>
        <v>0</v>
      </c>
      <c r="L306" s="92">
        <v>0.1</v>
      </c>
      <c r="M306" s="76">
        <f>Materiais[[#This Row],[Custo Total
Com IPI (R$)]]/(1-Materiais[[#This Row],[Margem
(%)]])</f>
        <v>0</v>
      </c>
      <c r="N306" s="16">
        <f>Materiais[[#This Row],[Valor Venda c/ Potencial Desconto  em Material (R$)]]-Materiais[[#This Row],[Custo Total
Com IPI (R$)]]</f>
        <v>0</v>
      </c>
      <c r="O306" s="93">
        <f>Materiais[[#This Row],[Valor Total
Com Margem
Sem Tributos   (R$)]]/(1-('Valores Finais'!$C$10))</f>
        <v>0</v>
      </c>
      <c r="P306" s="93">
        <f>Materiais[[#This Row],[Valor Venda c/ Potencial Desconto  em Material (R$)]]/(1-('Valores Finais'!$B$6))</f>
        <v>0</v>
      </c>
      <c r="Q306" s="84">
        <f>'Valores Finais'!$B$10</f>
        <v>0.12</v>
      </c>
      <c r="R306" s="76">
        <f>Materiais[[#This Row],[Valor Venda c/ Comissões (R$)]]/(1-Materiais[[#This Row],[Tributos
(%)]])-Materiais[[#This Row],[Valor Venda c/ Comissões (R$)]]</f>
        <v>0</v>
      </c>
      <c r="S306" s="76">
        <f>Materiais[[#This Row],[Valor Venda c/ Comissões (R$)]]+Materiais[[#This Row],[Tributos
(R$)]]</f>
        <v>0</v>
      </c>
      <c r="T306" s="185"/>
      <c r="U306" s="186">
        <f ca="1">IF(Materiais[[#This Row],[Data Update]] = "",0,IF(_xlfn.DAYS(NOW(),Materiais[[#This Row],[Data Update]])&lt;=0,0,_xlfn.DAYS(NOW(),Materiais[[#This Row],[Data Update]])))</f>
        <v>0</v>
      </c>
    </row>
    <row r="307" spans="1:21" x14ac:dyDescent="0.2">
      <c r="A307" s="46"/>
      <c r="B307" s="46"/>
      <c r="C307" s="46"/>
      <c r="D307" s="46"/>
      <c r="E307" s="46"/>
      <c r="F307" s="138"/>
      <c r="G307" s="129"/>
      <c r="H307" s="180"/>
      <c r="I307" s="5">
        <f>(Materiais[[#This Row],[Qtde.]]*Materiais[[#This Row],[Custo Unitário
Sem Tributos (R$)]])</f>
        <v>0</v>
      </c>
      <c r="J307" s="92">
        <v>0</v>
      </c>
      <c r="K307" s="140">
        <f>Materiais[[#This Row],[Custo Total
Sem Tributos (R$)]]*Materiais[[#This Row],[IPI
(%)]]+Materiais[[#This Row],[Custo Total
Sem Tributos (R$)]]</f>
        <v>0</v>
      </c>
      <c r="L307" s="92">
        <v>0.1</v>
      </c>
      <c r="M307" s="76">
        <f>Materiais[[#This Row],[Custo Total
Com IPI (R$)]]/(1-Materiais[[#This Row],[Margem
(%)]])</f>
        <v>0</v>
      </c>
      <c r="N307" s="16">
        <f>Materiais[[#This Row],[Valor Venda c/ Potencial Desconto  em Material (R$)]]-Materiais[[#This Row],[Custo Total
Com IPI (R$)]]</f>
        <v>0</v>
      </c>
      <c r="O307" s="93">
        <f>Materiais[[#This Row],[Valor Total
Com Margem
Sem Tributos   (R$)]]/(1-('Valores Finais'!$C$10))</f>
        <v>0</v>
      </c>
      <c r="P307" s="93">
        <f>Materiais[[#This Row],[Valor Venda c/ Potencial Desconto  em Material (R$)]]/(1-('Valores Finais'!$B$6))</f>
        <v>0</v>
      </c>
      <c r="Q307" s="84">
        <f>'Valores Finais'!$B$10</f>
        <v>0.12</v>
      </c>
      <c r="R307" s="76">
        <f>Materiais[[#This Row],[Valor Venda c/ Comissões (R$)]]/(1-Materiais[[#This Row],[Tributos
(%)]])-Materiais[[#This Row],[Valor Venda c/ Comissões (R$)]]</f>
        <v>0</v>
      </c>
      <c r="S307" s="76">
        <f>Materiais[[#This Row],[Valor Venda c/ Comissões (R$)]]+Materiais[[#This Row],[Tributos
(R$)]]</f>
        <v>0</v>
      </c>
      <c r="T307" s="185"/>
      <c r="U307" s="186">
        <f ca="1">IF(Materiais[[#This Row],[Data Update]] = "",0,IF(_xlfn.DAYS(NOW(),Materiais[[#This Row],[Data Update]])&lt;=0,0,_xlfn.DAYS(NOW(),Materiais[[#This Row],[Data Update]])))</f>
        <v>0</v>
      </c>
    </row>
    <row r="308" spans="1:21" x14ac:dyDescent="0.2">
      <c r="A308" s="46"/>
      <c r="B308" s="46"/>
      <c r="C308" s="46"/>
      <c r="D308" s="46"/>
      <c r="E308" s="46"/>
      <c r="F308" s="138"/>
      <c r="G308" s="129"/>
      <c r="H308" s="180"/>
      <c r="I308" s="5">
        <f>(Materiais[[#This Row],[Qtde.]]*Materiais[[#This Row],[Custo Unitário
Sem Tributos (R$)]])</f>
        <v>0</v>
      </c>
      <c r="J308" s="92">
        <v>0</v>
      </c>
      <c r="K308" s="140">
        <f>Materiais[[#This Row],[Custo Total
Sem Tributos (R$)]]*Materiais[[#This Row],[IPI
(%)]]+Materiais[[#This Row],[Custo Total
Sem Tributos (R$)]]</f>
        <v>0</v>
      </c>
      <c r="L308" s="92">
        <v>0.1</v>
      </c>
      <c r="M308" s="76">
        <f>Materiais[[#This Row],[Custo Total
Com IPI (R$)]]/(1-Materiais[[#This Row],[Margem
(%)]])</f>
        <v>0</v>
      </c>
      <c r="N308" s="16">
        <f>Materiais[[#This Row],[Valor Venda c/ Potencial Desconto  em Material (R$)]]-Materiais[[#This Row],[Custo Total
Com IPI (R$)]]</f>
        <v>0</v>
      </c>
      <c r="O308" s="93">
        <f>Materiais[[#This Row],[Valor Total
Com Margem
Sem Tributos   (R$)]]/(1-('Valores Finais'!$C$10))</f>
        <v>0</v>
      </c>
      <c r="P308" s="93">
        <f>Materiais[[#This Row],[Valor Venda c/ Potencial Desconto  em Material (R$)]]/(1-('Valores Finais'!$B$6))</f>
        <v>0</v>
      </c>
      <c r="Q308" s="84">
        <f>'Valores Finais'!$B$10</f>
        <v>0.12</v>
      </c>
      <c r="R308" s="76">
        <f>Materiais[[#This Row],[Valor Venda c/ Comissões (R$)]]/(1-Materiais[[#This Row],[Tributos
(%)]])-Materiais[[#This Row],[Valor Venda c/ Comissões (R$)]]</f>
        <v>0</v>
      </c>
      <c r="S308" s="76">
        <f>Materiais[[#This Row],[Valor Venda c/ Comissões (R$)]]+Materiais[[#This Row],[Tributos
(R$)]]</f>
        <v>0</v>
      </c>
      <c r="T308" s="185"/>
      <c r="U308" s="186">
        <f ca="1">IF(Materiais[[#This Row],[Data Update]] = "",0,IF(_xlfn.DAYS(NOW(),Materiais[[#This Row],[Data Update]])&lt;=0,0,_xlfn.DAYS(NOW(),Materiais[[#This Row],[Data Update]])))</f>
        <v>0</v>
      </c>
    </row>
    <row r="309" spans="1:21" x14ac:dyDescent="0.2">
      <c r="A309" s="46"/>
      <c r="B309" s="46"/>
      <c r="C309" s="46"/>
      <c r="D309" s="46"/>
      <c r="E309" s="46"/>
      <c r="F309" s="138"/>
      <c r="G309" s="129"/>
      <c r="H309" s="180"/>
      <c r="I309" s="5">
        <f>(Materiais[[#This Row],[Qtde.]]*Materiais[[#This Row],[Custo Unitário
Sem Tributos (R$)]])</f>
        <v>0</v>
      </c>
      <c r="J309" s="92">
        <v>0</v>
      </c>
      <c r="K309" s="140">
        <f>Materiais[[#This Row],[Custo Total
Sem Tributos (R$)]]*Materiais[[#This Row],[IPI
(%)]]+Materiais[[#This Row],[Custo Total
Sem Tributos (R$)]]</f>
        <v>0</v>
      </c>
      <c r="L309" s="92">
        <v>0.1</v>
      </c>
      <c r="M309" s="76">
        <f>Materiais[[#This Row],[Custo Total
Com IPI (R$)]]/(1-Materiais[[#This Row],[Margem
(%)]])</f>
        <v>0</v>
      </c>
      <c r="N309" s="16">
        <f>Materiais[[#This Row],[Valor Venda c/ Potencial Desconto  em Material (R$)]]-Materiais[[#This Row],[Custo Total
Com IPI (R$)]]</f>
        <v>0</v>
      </c>
      <c r="O309" s="93">
        <f>Materiais[[#This Row],[Valor Total
Com Margem
Sem Tributos   (R$)]]/(1-('Valores Finais'!$C$10))</f>
        <v>0</v>
      </c>
      <c r="P309" s="93">
        <f>Materiais[[#This Row],[Valor Venda c/ Potencial Desconto  em Material (R$)]]/(1-('Valores Finais'!$B$6))</f>
        <v>0</v>
      </c>
      <c r="Q309" s="84">
        <f>'Valores Finais'!$B$10</f>
        <v>0.12</v>
      </c>
      <c r="R309" s="76">
        <f>Materiais[[#This Row],[Valor Venda c/ Comissões (R$)]]/(1-Materiais[[#This Row],[Tributos
(%)]])-Materiais[[#This Row],[Valor Venda c/ Comissões (R$)]]</f>
        <v>0</v>
      </c>
      <c r="S309" s="76">
        <f>Materiais[[#This Row],[Valor Venda c/ Comissões (R$)]]+Materiais[[#This Row],[Tributos
(R$)]]</f>
        <v>0</v>
      </c>
      <c r="T309" s="185"/>
      <c r="U309" s="186">
        <f ca="1">IF(Materiais[[#This Row],[Data Update]] = "",0,IF(_xlfn.DAYS(NOW(),Materiais[[#This Row],[Data Update]])&lt;=0,0,_xlfn.DAYS(NOW(),Materiais[[#This Row],[Data Update]])))</f>
        <v>0</v>
      </c>
    </row>
    <row r="310" spans="1:21" x14ac:dyDescent="0.2">
      <c r="A310" s="46"/>
      <c r="B310" s="46"/>
      <c r="C310" s="46"/>
      <c r="D310" s="46"/>
      <c r="E310" s="46"/>
      <c r="F310" s="138"/>
      <c r="G310" s="129"/>
      <c r="H310" s="180"/>
      <c r="I310" s="5">
        <f>(Materiais[[#This Row],[Qtde.]]*Materiais[[#This Row],[Custo Unitário
Sem Tributos (R$)]])</f>
        <v>0</v>
      </c>
      <c r="J310" s="92">
        <v>0</v>
      </c>
      <c r="K310" s="140">
        <f>Materiais[[#This Row],[Custo Total
Sem Tributos (R$)]]*Materiais[[#This Row],[IPI
(%)]]+Materiais[[#This Row],[Custo Total
Sem Tributos (R$)]]</f>
        <v>0</v>
      </c>
      <c r="L310" s="92">
        <v>0.1</v>
      </c>
      <c r="M310" s="76">
        <f>Materiais[[#This Row],[Custo Total
Com IPI (R$)]]/(1-Materiais[[#This Row],[Margem
(%)]])</f>
        <v>0</v>
      </c>
      <c r="N310" s="16">
        <f>Materiais[[#This Row],[Valor Venda c/ Potencial Desconto  em Material (R$)]]-Materiais[[#This Row],[Custo Total
Com IPI (R$)]]</f>
        <v>0</v>
      </c>
      <c r="O310" s="93">
        <f>Materiais[[#This Row],[Valor Total
Com Margem
Sem Tributos   (R$)]]/(1-('Valores Finais'!$C$10))</f>
        <v>0</v>
      </c>
      <c r="P310" s="93">
        <f>Materiais[[#This Row],[Valor Venda c/ Potencial Desconto  em Material (R$)]]/(1-('Valores Finais'!$B$6))</f>
        <v>0</v>
      </c>
      <c r="Q310" s="84">
        <f>'Valores Finais'!$B$10</f>
        <v>0.12</v>
      </c>
      <c r="R310" s="76">
        <f>Materiais[[#This Row],[Valor Venda c/ Comissões (R$)]]/(1-Materiais[[#This Row],[Tributos
(%)]])-Materiais[[#This Row],[Valor Venda c/ Comissões (R$)]]</f>
        <v>0</v>
      </c>
      <c r="S310" s="76">
        <f>Materiais[[#This Row],[Valor Venda c/ Comissões (R$)]]+Materiais[[#This Row],[Tributos
(R$)]]</f>
        <v>0</v>
      </c>
      <c r="T310" s="185"/>
      <c r="U310" s="186">
        <f ca="1">IF(Materiais[[#This Row],[Data Update]] = "",0,IF(_xlfn.DAYS(NOW(),Materiais[[#This Row],[Data Update]])&lt;=0,0,_xlfn.DAYS(NOW(),Materiais[[#This Row],[Data Update]])))</f>
        <v>0</v>
      </c>
    </row>
    <row r="311" spans="1:21" x14ac:dyDescent="0.2">
      <c r="A311" s="46"/>
      <c r="B311" s="46"/>
      <c r="C311" s="46"/>
      <c r="D311" s="46"/>
      <c r="E311" s="46"/>
      <c r="F311" s="138"/>
      <c r="G311" s="129"/>
      <c r="H311" s="180"/>
      <c r="I311" s="5">
        <f>(Materiais[[#This Row],[Qtde.]]*Materiais[[#This Row],[Custo Unitário
Sem Tributos (R$)]])</f>
        <v>0</v>
      </c>
      <c r="J311" s="92">
        <v>0</v>
      </c>
      <c r="K311" s="140">
        <f>Materiais[[#This Row],[Custo Total
Sem Tributos (R$)]]*Materiais[[#This Row],[IPI
(%)]]+Materiais[[#This Row],[Custo Total
Sem Tributos (R$)]]</f>
        <v>0</v>
      </c>
      <c r="L311" s="92">
        <v>0.1</v>
      </c>
      <c r="M311" s="76">
        <f>Materiais[[#This Row],[Custo Total
Com IPI (R$)]]/(1-Materiais[[#This Row],[Margem
(%)]])</f>
        <v>0</v>
      </c>
      <c r="N311" s="16">
        <f>Materiais[[#This Row],[Valor Venda c/ Potencial Desconto  em Material (R$)]]-Materiais[[#This Row],[Custo Total
Com IPI (R$)]]</f>
        <v>0</v>
      </c>
      <c r="O311" s="93">
        <f>Materiais[[#This Row],[Valor Total
Com Margem
Sem Tributos   (R$)]]/(1-('Valores Finais'!$C$10))</f>
        <v>0</v>
      </c>
      <c r="P311" s="93">
        <f>Materiais[[#This Row],[Valor Venda c/ Potencial Desconto  em Material (R$)]]/(1-('Valores Finais'!$B$6))</f>
        <v>0</v>
      </c>
      <c r="Q311" s="84">
        <f>'Valores Finais'!$B$10</f>
        <v>0.12</v>
      </c>
      <c r="R311" s="76">
        <f>Materiais[[#This Row],[Valor Venda c/ Comissões (R$)]]/(1-Materiais[[#This Row],[Tributos
(%)]])-Materiais[[#This Row],[Valor Venda c/ Comissões (R$)]]</f>
        <v>0</v>
      </c>
      <c r="S311" s="76">
        <f>Materiais[[#This Row],[Valor Venda c/ Comissões (R$)]]+Materiais[[#This Row],[Tributos
(R$)]]</f>
        <v>0</v>
      </c>
      <c r="T311" s="185"/>
      <c r="U311" s="186">
        <f ca="1">IF(Materiais[[#This Row],[Data Update]] = "",0,IF(_xlfn.DAYS(NOW(),Materiais[[#This Row],[Data Update]])&lt;=0,0,_xlfn.DAYS(NOW(),Materiais[[#This Row],[Data Update]])))</f>
        <v>0</v>
      </c>
    </row>
    <row r="312" spans="1:21" x14ac:dyDescent="0.2">
      <c r="A312" s="46"/>
      <c r="B312" s="46"/>
      <c r="C312" s="46"/>
      <c r="D312" s="46"/>
      <c r="E312" s="46"/>
      <c r="F312" s="138"/>
      <c r="G312" s="129"/>
      <c r="H312" s="180"/>
      <c r="I312" s="5">
        <f>(Materiais[[#This Row],[Qtde.]]*Materiais[[#This Row],[Custo Unitário
Sem Tributos (R$)]])</f>
        <v>0</v>
      </c>
      <c r="J312" s="92">
        <v>0</v>
      </c>
      <c r="K312" s="140">
        <f>Materiais[[#This Row],[Custo Total
Sem Tributos (R$)]]*Materiais[[#This Row],[IPI
(%)]]+Materiais[[#This Row],[Custo Total
Sem Tributos (R$)]]</f>
        <v>0</v>
      </c>
      <c r="L312" s="92">
        <v>0.1</v>
      </c>
      <c r="M312" s="76">
        <f>Materiais[[#This Row],[Custo Total
Com IPI (R$)]]/(1-Materiais[[#This Row],[Margem
(%)]])</f>
        <v>0</v>
      </c>
      <c r="N312" s="16">
        <f>Materiais[[#This Row],[Valor Venda c/ Potencial Desconto  em Material (R$)]]-Materiais[[#This Row],[Custo Total
Com IPI (R$)]]</f>
        <v>0</v>
      </c>
      <c r="O312" s="93">
        <f>Materiais[[#This Row],[Valor Total
Com Margem
Sem Tributos   (R$)]]/(1-('Valores Finais'!$C$10))</f>
        <v>0</v>
      </c>
      <c r="P312" s="93">
        <f>Materiais[[#This Row],[Valor Venda c/ Potencial Desconto  em Material (R$)]]/(1-('Valores Finais'!$B$6))</f>
        <v>0</v>
      </c>
      <c r="Q312" s="84">
        <f>'Valores Finais'!$B$10</f>
        <v>0.12</v>
      </c>
      <c r="R312" s="76">
        <f>Materiais[[#This Row],[Valor Venda c/ Comissões (R$)]]/(1-Materiais[[#This Row],[Tributos
(%)]])-Materiais[[#This Row],[Valor Venda c/ Comissões (R$)]]</f>
        <v>0</v>
      </c>
      <c r="S312" s="76">
        <f>Materiais[[#This Row],[Valor Venda c/ Comissões (R$)]]+Materiais[[#This Row],[Tributos
(R$)]]</f>
        <v>0</v>
      </c>
      <c r="T312" s="185"/>
      <c r="U312" s="186">
        <f ca="1">IF(Materiais[[#This Row],[Data Update]] = "",0,IF(_xlfn.DAYS(NOW(),Materiais[[#This Row],[Data Update]])&lt;=0,0,_xlfn.DAYS(NOW(),Materiais[[#This Row],[Data Update]])))</f>
        <v>0</v>
      </c>
    </row>
    <row r="313" spans="1:21" x14ac:dyDescent="0.2">
      <c r="A313" s="46"/>
      <c r="B313" s="46"/>
      <c r="C313" s="46"/>
      <c r="D313" s="46"/>
      <c r="E313" s="46"/>
      <c r="F313" s="138"/>
      <c r="G313" s="129"/>
      <c r="H313" s="180"/>
      <c r="I313" s="5">
        <f>(Materiais[[#This Row],[Qtde.]]*Materiais[[#This Row],[Custo Unitário
Sem Tributos (R$)]])</f>
        <v>0</v>
      </c>
      <c r="J313" s="92">
        <v>0</v>
      </c>
      <c r="K313" s="140">
        <f>Materiais[[#This Row],[Custo Total
Sem Tributos (R$)]]*Materiais[[#This Row],[IPI
(%)]]+Materiais[[#This Row],[Custo Total
Sem Tributos (R$)]]</f>
        <v>0</v>
      </c>
      <c r="L313" s="92">
        <v>0.1</v>
      </c>
      <c r="M313" s="76">
        <f>Materiais[[#This Row],[Custo Total
Com IPI (R$)]]/(1-Materiais[[#This Row],[Margem
(%)]])</f>
        <v>0</v>
      </c>
      <c r="N313" s="16">
        <f>Materiais[[#This Row],[Valor Venda c/ Potencial Desconto  em Material (R$)]]-Materiais[[#This Row],[Custo Total
Com IPI (R$)]]</f>
        <v>0</v>
      </c>
      <c r="O313" s="93">
        <f>Materiais[[#This Row],[Valor Total
Com Margem
Sem Tributos   (R$)]]/(1-('Valores Finais'!$C$10))</f>
        <v>0</v>
      </c>
      <c r="P313" s="93">
        <f>Materiais[[#This Row],[Valor Venda c/ Potencial Desconto  em Material (R$)]]/(1-('Valores Finais'!$B$6))</f>
        <v>0</v>
      </c>
      <c r="Q313" s="84">
        <f>'Valores Finais'!$B$10</f>
        <v>0.12</v>
      </c>
      <c r="R313" s="76">
        <f>Materiais[[#This Row],[Valor Venda c/ Comissões (R$)]]/(1-Materiais[[#This Row],[Tributos
(%)]])-Materiais[[#This Row],[Valor Venda c/ Comissões (R$)]]</f>
        <v>0</v>
      </c>
      <c r="S313" s="76">
        <f>Materiais[[#This Row],[Valor Venda c/ Comissões (R$)]]+Materiais[[#This Row],[Tributos
(R$)]]</f>
        <v>0</v>
      </c>
      <c r="T313" s="185"/>
      <c r="U313" s="186">
        <f ca="1">IF(Materiais[[#This Row],[Data Update]] = "",0,IF(_xlfn.DAYS(NOW(),Materiais[[#This Row],[Data Update]])&lt;=0,0,_xlfn.DAYS(NOW(),Materiais[[#This Row],[Data Update]])))</f>
        <v>0</v>
      </c>
    </row>
    <row r="314" spans="1:21" x14ac:dyDescent="0.2">
      <c r="A314" s="46"/>
      <c r="B314" s="46"/>
      <c r="C314" s="46"/>
      <c r="D314" s="46"/>
      <c r="E314" s="46"/>
      <c r="F314" s="138"/>
      <c r="G314" s="129"/>
      <c r="H314" s="180"/>
      <c r="I314" s="5">
        <f>(Materiais[[#This Row],[Qtde.]]*Materiais[[#This Row],[Custo Unitário
Sem Tributos (R$)]])</f>
        <v>0</v>
      </c>
      <c r="J314" s="92">
        <v>0</v>
      </c>
      <c r="K314" s="140">
        <f>Materiais[[#This Row],[Custo Total
Sem Tributos (R$)]]*Materiais[[#This Row],[IPI
(%)]]+Materiais[[#This Row],[Custo Total
Sem Tributos (R$)]]</f>
        <v>0</v>
      </c>
      <c r="L314" s="92">
        <v>0.1</v>
      </c>
      <c r="M314" s="76">
        <f>Materiais[[#This Row],[Custo Total
Com IPI (R$)]]/(1-Materiais[[#This Row],[Margem
(%)]])</f>
        <v>0</v>
      </c>
      <c r="N314" s="16">
        <f>Materiais[[#This Row],[Valor Venda c/ Potencial Desconto  em Material (R$)]]-Materiais[[#This Row],[Custo Total
Com IPI (R$)]]</f>
        <v>0</v>
      </c>
      <c r="O314" s="93">
        <f>Materiais[[#This Row],[Valor Total
Com Margem
Sem Tributos   (R$)]]/(1-('Valores Finais'!$C$10))</f>
        <v>0</v>
      </c>
      <c r="P314" s="93">
        <f>Materiais[[#This Row],[Valor Venda c/ Potencial Desconto  em Material (R$)]]/(1-('Valores Finais'!$B$6))</f>
        <v>0</v>
      </c>
      <c r="Q314" s="84">
        <f>'Valores Finais'!$B$10</f>
        <v>0.12</v>
      </c>
      <c r="R314" s="76">
        <f>Materiais[[#This Row],[Valor Venda c/ Comissões (R$)]]/(1-Materiais[[#This Row],[Tributos
(%)]])-Materiais[[#This Row],[Valor Venda c/ Comissões (R$)]]</f>
        <v>0</v>
      </c>
      <c r="S314" s="76">
        <f>Materiais[[#This Row],[Valor Venda c/ Comissões (R$)]]+Materiais[[#This Row],[Tributos
(R$)]]</f>
        <v>0</v>
      </c>
      <c r="T314" s="185"/>
      <c r="U314" s="186">
        <f ca="1">IF(Materiais[[#This Row],[Data Update]] = "",0,IF(_xlfn.DAYS(NOW(),Materiais[[#This Row],[Data Update]])&lt;=0,0,_xlfn.DAYS(NOW(),Materiais[[#This Row],[Data Update]])))</f>
        <v>0</v>
      </c>
    </row>
    <row r="315" spans="1:21" x14ac:dyDescent="0.2">
      <c r="A315" s="46"/>
      <c r="B315" s="46"/>
      <c r="C315" s="46"/>
      <c r="D315" s="46"/>
      <c r="E315" s="46"/>
      <c r="F315" s="138"/>
      <c r="G315" s="129"/>
      <c r="H315" s="180"/>
      <c r="I315" s="5">
        <f>(Materiais[[#This Row],[Qtde.]]*Materiais[[#This Row],[Custo Unitário
Sem Tributos (R$)]])</f>
        <v>0</v>
      </c>
      <c r="J315" s="92">
        <v>0</v>
      </c>
      <c r="K315" s="140">
        <f>Materiais[[#This Row],[Custo Total
Sem Tributos (R$)]]*Materiais[[#This Row],[IPI
(%)]]+Materiais[[#This Row],[Custo Total
Sem Tributos (R$)]]</f>
        <v>0</v>
      </c>
      <c r="L315" s="92">
        <v>0.1</v>
      </c>
      <c r="M315" s="76">
        <f>Materiais[[#This Row],[Custo Total
Com IPI (R$)]]/(1-Materiais[[#This Row],[Margem
(%)]])</f>
        <v>0</v>
      </c>
      <c r="N315" s="16">
        <f>Materiais[[#This Row],[Valor Venda c/ Potencial Desconto  em Material (R$)]]-Materiais[[#This Row],[Custo Total
Com IPI (R$)]]</f>
        <v>0</v>
      </c>
      <c r="O315" s="93">
        <f>Materiais[[#This Row],[Valor Total
Com Margem
Sem Tributos   (R$)]]/(1-('Valores Finais'!$C$10))</f>
        <v>0</v>
      </c>
      <c r="P315" s="93">
        <f>Materiais[[#This Row],[Valor Venda c/ Potencial Desconto  em Material (R$)]]/(1-('Valores Finais'!$B$6))</f>
        <v>0</v>
      </c>
      <c r="Q315" s="84">
        <f>'Valores Finais'!$B$10</f>
        <v>0.12</v>
      </c>
      <c r="R315" s="76">
        <f>Materiais[[#This Row],[Valor Venda c/ Comissões (R$)]]/(1-Materiais[[#This Row],[Tributos
(%)]])-Materiais[[#This Row],[Valor Venda c/ Comissões (R$)]]</f>
        <v>0</v>
      </c>
      <c r="S315" s="76">
        <f>Materiais[[#This Row],[Valor Venda c/ Comissões (R$)]]+Materiais[[#This Row],[Tributos
(R$)]]</f>
        <v>0</v>
      </c>
      <c r="T315" s="185"/>
      <c r="U315" s="186">
        <f ca="1">IF(Materiais[[#This Row],[Data Update]] = "",0,IF(_xlfn.DAYS(NOW(),Materiais[[#This Row],[Data Update]])&lt;=0,0,_xlfn.DAYS(NOW(),Materiais[[#This Row],[Data Update]])))</f>
        <v>0</v>
      </c>
    </row>
    <row r="316" spans="1:21" x14ac:dyDescent="0.2">
      <c r="A316" s="46"/>
      <c r="B316" s="46"/>
      <c r="C316" s="46"/>
      <c r="D316" s="46"/>
      <c r="E316" s="46"/>
      <c r="F316" s="138"/>
      <c r="G316" s="129"/>
      <c r="H316" s="180"/>
      <c r="I316" s="5">
        <f>(Materiais[[#This Row],[Qtde.]]*Materiais[[#This Row],[Custo Unitário
Sem Tributos (R$)]])</f>
        <v>0</v>
      </c>
      <c r="J316" s="92">
        <v>0</v>
      </c>
      <c r="K316" s="140">
        <f>Materiais[[#This Row],[Custo Total
Sem Tributos (R$)]]*Materiais[[#This Row],[IPI
(%)]]+Materiais[[#This Row],[Custo Total
Sem Tributos (R$)]]</f>
        <v>0</v>
      </c>
      <c r="L316" s="92">
        <v>0.1</v>
      </c>
      <c r="M316" s="76">
        <f>Materiais[[#This Row],[Custo Total
Com IPI (R$)]]/(1-Materiais[[#This Row],[Margem
(%)]])</f>
        <v>0</v>
      </c>
      <c r="N316" s="16">
        <f>Materiais[[#This Row],[Valor Venda c/ Potencial Desconto  em Material (R$)]]-Materiais[[#This Row],[Custo Total
Com IPI (R$)]]</f>
        <v>0</v>
      </c>
      <c r="O316" s="93">
        <f>Materiais[[#This Row],[Valor Total
Com Margem
Sem Tributos   (R$)]]/(1-('Valores Finais'!$C$10))</f>
        <v>0</v>
      </c>
      <c r="P316" s="93">
        <f>Materiais[[#This Row],[Valor Venda c/ Potencial Desconto  em Material (R$)]]/(1-('Valores Finais'!$B$6))</f>
        <v>0</v>
      </c>
      <c r="Q316" s="84">
        <f>'Valores Finais'!$B$10</f>
        <v>0.12</v>
      </c>
      <c r="R316" s="76">
        <f>Materiais[[#This Row],[Valor Venda c/ Comissões (R$)]]/(1-Materiais[[#This Row],[Tributos
(%)]])-Materiais[[#This Row],[Valor Venda c/ Comissões (R$)]]</f>
        <v>0</v>
      </c>
      <c r="S316" s="76">
        <f>Materiais[[#This Row],[Valor Venda c/ Comissões (R$)]]+Materiais[[#This Row],[Tributos
(R$)]]</f>
        <v>0</v>
      </c>
      <c r="T316" s="185"/>
      <c r="U316" s="186">
        <f ca="1">IF(Materiais[[#This Row],[Data Update]] = "",0,IF(_xlfn.DAYS(NOW(),Materiais[[#This Row],[Data Update]])&lt;=0,0,_xlfn.DAYS(NOW(),Materiais[[#This Row],[Data Update]])))</f>
        <v>0</v>
      </c>
    </row>
    <row r="317" spans="1:21" x14ac:dyDescent="0.2">
      <c r="A317" s="46"/>
      <c r="B317" s="46"/>
      <c r="C317" s="46"/>
      <c r="D317" s="46"/>
      <c r="E317" s="46"/>
      <c r="F317" s="138"/>
      <c r="G317" s="129"/>
      <c r="H317" s="180"/>
      <c r="I317" s="5">
        <f>(Materiais[[#This Row],[Qtde.]]*Materiais[[#This Row],[Custo Unitário
Sem Tributos (R$)]])</f>
        <v>0</v>
      </c>
      <c r="J317" s="92">
        <v>0</v>
      </c>
      <c r="K317" s="140">
        <f>Materiais[[#This Row],[Custo Total
Sem Tributos (R$)]]*Materiais[[#This Row],[IPI
(%)]]+Materiais[[#This Row],[Custo Total
Sem Tributos (R$)]]</f>
        <v>0</v>
      </c>
      <c r="L317" s="92">
        <v>0.1</v>
      </c>
      <c r="M317" s="76">
        <f>Materiais[[#This Row],[Custo Total
Com IPI (R$)]]/(1-Materiais[[#This Row],[Margem
(%)]])</f>
        <v>0</v>
      </c>
      <c r="N317" s="16">
        <f>Materiais[[#This Row],[Valor Venda c/ Potencial Desconto  em Material (R$)]]-Materiais[[#This Row],[Custo Total
Com IPI (R$)]]</f>
        <v>0</v>
      </c>
      <c r="O317" s="93">
        <f>Materiais[[#This Row],[Valor Total
Com Margem
Sem Tributos   (R$)]]/(1-('Valores Finais'!$C$10))</f>
        <v>0</v>
      </c>
      <c r="P317" s="93">
        <f>Materiais[[#This Row],[Valor Venda c/ Potencial Desconto  em Material (R$)]]/(1-('Valores Finais'!$B$6))</f>
        <v>0</v>
      </c>
      <c r="Q317" s="84">
        <f>'Valores Finais'!$B$10</f>
        <v>0.12</v>
      </c>
      <c r="R317" s="76">
        <f>Materiais[[#This Row],[Valor Venda c/ Comissões (R$)]]/(1-Materiais[[#This Row],[Tributos
(%)]])-Materiais[[#This Row],[Valor Venda c/ Comissões (R$)]]</f>
        <v>0</v>
      </c>
      <c r="S317" s="76">
        <f>Materiais[[#This Row],[Valor Venda c/ Comissões (R$)]]+Materiais[[#This Row],[Tributos
(R$)]]</f>
        <v>0</v>
      </c>
      <c r="T317" s="185"/>
      <c r="U317" s="186">
        <f ca="1">IF(Materiais[[#This Row],[Data Update]] = "",0,IF(_xlfn.DAYS(NOW(),Materiais[[#This Row],[Data Update]])&lt;=0,0,_xlfn.DAYS(NOW(),Materiais[[#This Row],[Data Update]])))</f>
        <v>0</v>
      </c>
    </row>
    <row r="318" spans="1:21" x14ac:dyDescent="0.2">
      <c r="A318" s="46"/>
      <c r="B318" s="46"/>
      <c r="C318" s="46"/>
      <c r="D318" s="46"/>
      <c r="E318" s="46"/>
      <c r="F318" s="138"/>
      <c r="G318" s="129"/>
      <c r="H318" s="180"/>
      <c r="I318" s="5">
        <f>(Materiais[[#This Row],[Qtde.]]*Materiais[[#This Row],[Custo Unitário
Sem Tributos (R$)]])</f>
        <v>0</v>
      </c>
      <c r="J318" s="92">
        <v>0</v>
      </c>
      <c r="K318" s="140">
        <f>Materiais[[#This Row],[Custo Total
Sem Tributos (R$)]]*Materiais[[#This Row],[IPI
(%)]]+Materiais[[#This Row],[Custo Total
Sem Tributos (R$)]]</f>
        <v>0</v>
      </c>
      <c r="L318" s="92">
        <v>0.1</v>
      </c>
      <c r="M318" s="76">
        <f>Materiais[[#This Row],[Custo Total
Com IPI (R$)]]/(1-Materiais[[#This Row],[Margem
(%)]])</f>
        <v>0</v>
      </c>
      <c r="N318" s="16">
        <f>Materiais[[#This Row],[Valor Venda c/ Potencial Desconto  em Material (R$)]]-Materiais[[#This Row],[Custo Total
Com IPI (R$)]]</f>
        <v>0</v>
      </c>
      <c r="O318" s="93">
        <f>Materiais[[#This Row],[Valor Total
Com Margem
Sem Tributos   (R$)]]/(1-('Valores Finais'!$C$10))</f>
        <v>0</v>
      </c>
      <c r="P318" s="93">
        <f>Materiais[[#This Row],[Valor Venda c/ Potencial Desconto  em Material (R$)]]/(1-('Valores Finais'!$B$6))</f>
        <v>0</v>
      </c>
      <c r="Q318" s="84">
        <f>'Valores Finais'!$B$10</f>
        <v>0.12</v>
      </c>
      <c r="R318" s="76">
        <f>Materiais[[#This Row],[Valor Venda c/ Comissões (R$)]]/(1-Materiais[[#This Row],[Tributos
(%)]])-Materiais[[#This Row],[Valor Venda c/ Comissões (R$)]]</f>
        <v>0</v>
      </c>
      <c r="S318" s="76">
        <f>Materiais[[#This Row],[Valor Venda c/ Comissões (R$)]]+Materiais[[#This Row],[Tributos
(R$)]]</f>
        <v>0</v>
      </c>
      <c r="T318" s="185"/>
      <c r="U318" s="186">
        <f ca="1">IF(Materiais[[#This Row],[Data Update]] = "",0,IF(_xlfn.DAYS(NOW(),Materiais[[#This Row],[Data Update]])&lt;=0,0,_xlfn.DAYS(NOW(),Materiais[[#This Row],[Data Update]])))</f>
        <v>0</v>
      </c>
    </row>
    <row r="319" spans="1:21" x14ac:dyDescent="0.2">
      <c r="A319" s="46"/>
      <c r="B319" s="46"/>
      <c r="C319" s="46"/>
      <c r="D319" s="46"/>
      <c r="E319" s="46"/>
      <c r="F319" s="138"/>
      <c r="G319" s="129"/>
      <c r="H319" s="180"/>
      <c r="I319" s="5">
        <f>(Materiais[[#This Row],[Qtde.]]*Materiais[[#This Row],[Custo Unitário
Sem Tributos (R$)]])</f>
        <v>0</v>
      </c>
      <c r="J319" s="92">
        <v>0</v>
      </c>
      <c r="K319" s="140">
        <f>Materiais[[#This Row],[Custo Total
Sem Tributos (R$)]]*Materiais[[#This Row],[IPI
(%)]]+Materiais[[#This Row],[Custo Total
Sem Tributos (R$)]]</f>
        <v>0</v>
      </c>
      <c r="L319" s="92">
        <v>0.1</v>
      </c>
      <c r="M319" s="76">
        <f>Materiais[[#This Row],[Custo Total
Com IPI (R$)]]/(1-Materiais[[#This Row],[Margem
(%)]])</f>
        <v>0</v>
      </c>
      <c r="N319" s="16">
        <f>Materiais[[#This Row],[Valor Venda c/ Potencial Desconto  em Material (R$)]]-Materiais[[#This Row],[Custo Total
Com IPI (R$)]]</f>
        <v>0</v>
      </c>
      <c r="O319" s="93">
        <f>Materiais[[#This Row],[Valor Total
Com Margem
Sem Tributos   (R$)]]/(1-('Valores Finais'!$C$10))</f>
        <v>0</v>
      </c>
      <c r="P319" s="93">
        <f>Materiais[[#This Row],[Valor Venda c/ Potencial Desconto  em Material (R$)]]/(1-('Valores Finais'!$B$6))</f>
        <v>0</v>
      </c>
      <c r="Q319" s="84">
        <f>'Valores Finais'!$B$10</f>
        <v>0.12</v>
      </c>
      <c r="R319" s="76">
        <f>Materiais[[#This Row],[Valor Venda c/ Comissões (R$)]]/(1-Materiais[[#This Row],[Tributos
(%)]])-Materiais[[#This Row],[Valor Venda c/ Comissões (R$)]]</f>
        <v>0</v>
      </c>
      <c r="S319" s="76">
        <f>Materiais[[#This Row],[Valor Venda c/ Comissões (R$)]]+Materiais[[#This Row],[Tributos
(R$)]]</f>
        <v>0</v>
      </c>
      <c r="T319" s="185"/>
      <c r="U319" s="186">
        <f ca="1">IF(Materiais[[#This Row],[Data Update]] = "",0,IF(_xlfn.DAYS(NOW(),Materiais[[#This Row],[Data Update]])&lt;=0,0,_xlfn.DAYS(NOW(),Materiais[[#This Row],[Data Update]])))</f>
        <v>0</v>
      </c>
    </row>
    <row r="320" spans="1:21" x14ac:dyDescent="0.2">
      <c r="A320" s="46"/>
      <c r="B320" s="46"/>
      <c r="C320" s="46"/>
      <c r="D320" s="46"/>
      <c r="E320" s="46"/>
      <c r="F320" s="138"/>
      <c r="G320" s="129"/>
      <c r="H320" s="180"/>
      <c r="I320" s="5">
        <f>(Materiais[[#This Row],[Qtde.]]*Materiais[[#This Row],[Custo Unitário
Sem Tributos (R$)]])</f>
        <v>0</v>
      </c>
      <c r="J320" s="92">
        <v>0</v>
      </c>
      <c r="K320" s="140">
        <f>Materiais[[#This Row],[Custo Total
Sem Tributos (R$)]]*Materiais[[#This Row],[IPI
(%)]]+Materiais[[#This Row],[Custo Total
Sem Tributos (R$)]]</f>
        <v>0</v>
      </c>
      <c r="L320" s="92">
        <v>0.1</v>
      </c>
      <c r="M320" s="76">
        <f>Materiais[[#This Row],[Custo Total
Com IPI (R$)]]/(1-Materiais[[#This Row],[Margem
(%)]])</f>
        <v>0</v>
      </c>
      <c r="N320" s="16">
        <f>Materiais[[#This Row],[Valor Venda c/ Potencial Desconto  em Material (R$)]]-Materiais[[#This Row],[Custo Total
Com IPI (R$)]]</f>
        <v>0</v>
      </c>
      <c r="O320" s="93">
        <f>Materiais[[#This Row],[Valor Total
Com Margem
Sem Tributos   (R$)]]/(1-('Valores Finais'!$C$10))</f>
        <v>0</v>
      </c>
      <c r="P320" s="93">
        <f>Materiais[[#This Row],[Valor Venda c/ Potencial Desconto  em Material (R$)]]/(1-('Valores Finais'!$B$6))</f>
        <v>0</v>
      </c>
      <c r="Q320" s="84">
        <f>'Valores Finais'!$B$10</f>
        <v>0.12</v>
      </c>
      <c r="R320" s="76">
        <f>Materiais[[#This Row],[Valor Venda c/ Comissões (R$)]]/(1-Materiais[[#This Row],[Tributos
(%)]])-Materiais[[#This Row],[Valor Venda c/ Comissões (R$)]]</f>
        <v>0</v>
      </c>
      <c r="S320" s="76">
        <f>Materiais[[#This Row],[Valor Venda c/ Comissões (R$)]]+Materiais[[#This Row],[Tributos
(R$)]]</f>
        <v>0</v>
      </c>
      <c r="T320" s="185"/>
      <c r="U320" s="186">
        <f ca="1">IF(Materiais[[#This Row],[Data Update]] = "",0,IF(_xlfn.DAYS(NOW(),Materiais[[#This Row],[Data Update]])&lt;=0,0,_xlfn.DAYS(NOW(),Materiais[[#This Row],[Data Update]])))</f>
        <v>0</v>
      </c>
    </row>
    <row r="321" spans="1:21" x14ac:dyDescent="0.2">
      <c r="A321" s="46"/>
      <c r="B321" s="46"/>
      <c r="C321" s="46"/>
      <c r="D321" s="46"/>
      <c r="E321" s="46"/>
      <c r="F321" s="138"/>
      <c r="G321" s="129"/>
      <c r="H321" s="180"/>
      <c r="I321" s="5">
        <f>(Materiais[[#This Row],[Qtde.]]*Materiais[[#This Row],[Custo Unitário
Sem Tributos (R$)]])</f>
        <v>0</v>
      </c>
      <c r="J321" s="92">
        <v>0</v>
      </c>
      <c r="K321" s="140">
        <f>Materiais[[#This Row],[Custo Total
Sem Tributos (R$)]]*Materiais[[#This Row],[IPI
(%)]]+Materiais[[#This Row],[Custo Total
Sem Tributos (R$)]]</f>
        <v>0</v>
      </c>
      <c r="L321" s="92">
        <v>0.1</v>
      </c>
      <c r="M321" s="76">
        <f>Materiais[[#This Row],[Custo Total
Com IPI (R$)]]/(1-Materiais[[#This Row],[Margem
(%)]])</f>
        <v>0</v>
      </c>
      <c r="N321" s="16">
        <f>Materiais[[#This Row],[Valor Venda c/ Potencial Desconto  em Material (R$)]]-Materiais[[#This Row],[Custo Total
Com IPI (R$)]]</f>
        <v>0</v>
      </c>
      <c r="O321" s="93">
        <f>Materiais[[#This Row],[Valor Total
Com Margem
Sem Tributos   (R$)]]/(1-('Valores Finais'!$C$10))</f>
        <v>0</v>
      </c>
      <c r="P321" s="93">
        <f>Materiais[[#This Row],[Valor Venda c/ Potencial Desconto  em Material (R$)]]/(1-('Valores Finais'!$B$6))</f>
        <v>0</v>
      </c>
      <c r="Q321" s="84">
        <f>'Valores Finais'!$B$10</f>
        <v>0.12</v>
      </c>
      <c r="R321" s="76">
        <f>Materiais[[#This Row],[Valor Venda c/ Comissões (R$)]]/(1-Materiais[[#This Row],[Tributos
(%)]])-Materiais[[#This Row],[Valor Venda c/ Comissões (R$)]]</f>
        <v>0</v>
      </c>
      <c r="S321" s="76">
        <f>Materiais[[#This Row],[Valor Venda c/ Comissões (R$)]]+Materiais[[#This Row],[Tributos
(R$)]]</f>
        <v>0</v>
      </c>
      <c r="T321" s="185"/>
      <c r="U321" s="186">
        <f ca="1">IF(Materiais[[#This Row],[Data Update]] = "",0,IF(_xlfn.DAYS(NOW(),Materiais[[#This Row],[Data Update]])&lt;=0,0,_xlfn.DAYS(NOW(),Materiais[[#This Row],[Data Update]])))</f>
        <v>0</v>
      </c>
    </row>
    <row r="322" spans="1:21" x14ac:dyDescent="0.2">
      <c r="A322" s="46"/>
      <c r="B322" s="46"/>
      <c r="C322" s="46"/>
      <c r="D322" s="46"/>
      <c r="E322" s="46"/>
      <c r="F322" s="138"/>
      <c r="G322" s="129"/>
      <c r="H322" s="180"/>
      <c r="I322" s="5">
        <f>(Materiais[[#This Row],[Qtde.]]*Materiais[[#This Row],[Custo Unitário
Sem Tributos (R$)]])</f>
        <v>0</v>
      </c>
      <c r="J322" s="92">
        <v>0</v>
      </c>
      <c r="K322" s="140">
        <f>Materiais[[#This Row],[Custo Total
Sem Tributos (R$)]]*Materiais[[#This Row],[IPI
(%)]]+Materiais[[#This Row],[Custo Total
Sem Tributos (R$)]]</f>
        <v>0</v>
      </c>
      <c r="L322" s="92">
        <v>0.1</v>
      </c>
      <c r="M322" s="76">
        <f>Materiais[[#This Row],[Custo Total
Com IPI (R$)]]/(1-Materiais[[#This Row],[Margem
(%)]])</f>
        <v>0</v>
      </c>
      <c r="N322" s="16">
        <f>Materiais[[#This Row],[Valor Venda c/ Potencial Desconto  em Material (R$)]]-Materiais[[#This Row],[Custo Total
Com IPI (R$)]]</f>
        <v>0</v>
      </c>
      <c r="O322" s="93">
        <f>Materiais[[#This Row],[Valor Total
Com Margem
Sem Tributos   (R$)]]/(1-('Valores Finais'!$C$10))</f>
        <v>0</v>
      </c>
      <c r="P322" s="93">
        <f>Materiais[[#This Row],[Valor Venda c/ Potencial Desconto  em Material (R$)]]/(1-('Valores Finais'!$B$6))</f>
        <v>0</v>
      </c>
      <c r="Q322" s="84">
        <f>'Valores Finais'!$B$10</f>
        <v>0.12</v>
      </c>
      <c r="R322" s="76">
        <f>Materiais[[#This Row],[Valor Venda c/ Comissões (R$)]]/(1-Materiais[[#This Row],[Tributos
(%)]])-Materiais[[#This Row],[Valor Venda c/ Comissões (R$)]]</f>
        <v>0</v>
      </c>
      <c r="S322" s="76">
        <f>Materiais[[#This Row],[Valor Venda c/ Comissões (R$)]]+Materiais[[#This Row],[Tributos
(R$)]]</f>
        <v>0</v>
      </c>
      <c r="T322" s="185"/>
      <c r="U322" s="186">
        <f ca="1">IF(Materiais[[#This Row],[Data Update]] = "",0,IF(_xlfn.DAYS(NOW(),Materiais[[#This Row],[Data Update]])&lt;=0,0,_xlfn.DAYS(NOW(),Materiais[[#This Row],[Data Update]])))</f>
        <v>0</v>
      </c>
    </row>
    <row r="323" spans="1:21" x14ac:dyDescent="0.2">
      <c r="A323" s="46"/>
      <c r="B323" s="46"/>
      <c r="C323" s="46"/>
      <c r="D323" s="46"/>
      <c r="E323" s="46"/>
      <c r="F323" s="138"/>
      <c r="G323" s="129"/>
      <c r="H323" s="180"/>
      <c r="I323" s="5">
        <f>(Materiais[[#This Row],[Qtde.]]*Materiais[[#This Row],[Custo Unitário
Sem Tributos (R$)]])</f>
        <v>0</v>
      </c>
      <c r="J323" s="92">
        <v>0</v>
      </c>
      <c r="K323" s="140">
        <f>Materiais[[#This Row],[Custo Total
Sem Tributos (R$)]]*Materiais[[#This Row],[IPI
(%)]]+Materiais[[#This Row],[Custo Total
Sem Tributos (R$)]]</f>
        <v>0</v>
      </c>
      <c r="L323" s="92">
        <v>0.1</v>
      </c>
      <c r="M323" s="76">
        <f>Materiais[[#This Row],[Custo Total
Com IPI (R$)]]/(1-Materiais[[#This Row],[Margem
(%)]])</f>
        <v>0</v>
      </c>
      <c r="N323" s="16">
        <f>Materiais[[#This Row],[Valor Venda c/ Potencial Desconto  em Material (R$)]]-Materiais[[#This Row],[Custo Total
Com IPI (R$)]]</f>
        <v>0</v>
      </c>
      <c r="O323" s="93">
        <f>Materiais[[#This Row],[Valor Total
Com Margem
Sem Tributos   (R$)]]/(1-('Valores Finais'!$C$10))</f>
        <v>0</v>
      </c>
      <c r="P323" s="93">
        <f>Materiais[[#This Row],[Valor Venda c/ Potencial Desconto  em Material (R$)]]/(1-('Valores Finais'!$B$6))</f>
        <v>0</v>
      </c>
      <c r="Q323" s="84">
        <f>'Valores Finais'!$B$10</f>
        <v>0.12</v>
      </c>
      <c r="R323" s="76">
        <f>Materiais[[#This Row],[Valor Venda c/ Comissões (R$)]]/(1-Materiais[[#This Row],[Tributos
(%)]])-Materiais[[#This Row],[Valor Venda c/ Comissões (R$)]]</f>
        <v>0</v>
      </c>
      <c r="S323" s="76">
        <f>Materiais[[#This Row],[Valor Venda c/ Comissões (R$)]]+Materiais[[#This Row],[Tributos
(R$)]]</f>
        <v>0</v>
      </c>
      <c r="T323" s="185"/>
      <c r="U323" s="186">
        <f ca="1">IF(Materiais[[#This Row],[Data Update]] = "",0,IF(_xlfn.DAYS(NOW(),Materiais[[#This Row],[Data Update]])&lt;=0,0,_xlfn.DAYS(NOW(),Materiais[[#This Row],[Data Update]])))</f>
        <v>0</v>
      </c>
    </row>
    <row r="324" spans="1:21" x14ac:dyDescent="0.2">
      <c r="A324" s="46"/>
      <c r="B324" s="46"/>
      <c r="C324" s="46"/>
      <c r="D324" s="46"/>
      <c r="E324" s="46"/>
      <c r="F324" s="138"/>
      <c r="G324" s="129"/>
      <c r="H324" s="180"/>
      <c r="I324" s="5">
        <f>(Materiais[[#This Row],[Qtde.]]*Materiais[[#This Row],[Custo Unitário
Sem Tributos (R$)]])</f>
        <v>0</v>
      </c>
      <c r="J324" s="92">
        <v>0</v>
      </c>
      <c r="K324" s="140">
        <f>Materiais[[#This Row],[Custo Total
Sem Tributos (R$)]]*Materiais[[#This Row],[IPI
(%)]]+Materiais[[#This Row],[Custo Total
Sem Tributos (R$)]]</f>
        <v>0</v>
      </c>
      <c r="L324" s="92">
        <v>0.1</v>
      </c>
      <c r="M324" s="76">
        <f>Materiais[[#This Row],[Custo Total
Com IPI (R$)]]/(1-Materiais[[#This Row],[Margem
(%)]])</f>
        <v>0</v>
      </c>
      <c r="N324" s="16">
        <f>Materiais[[#This Row],[Valor Venda c/ Potencial Desconto  em Material (R$)]]-Materiais[[#This Row],[Custo Total
Com IPI (R$)]]</f>
        <v>0</v>
      </c>
      <c r="O324" s="93">
        <f>Materiais[[#This Row],[Valor Total
Com Margem
Sem Tributos   (R$)]]/(1-('Valores Finais'!$C$10))</f>
        <v>0</v>
      </c>
      <c r="P324" s="93">
        <f>Materiais[[#This Row],[Valor Venda c/ Potencial Desconto  em Material (R$)]]/(1-('Valores Finais'!$B$6))</f>
        <v>0</v>
      </c>
      <c r="Q324" s="84">
        <f>'Valores Finais'!$B$10</f>
        <v>0.12</v>
      </c>
      <c r="R324" s="76">
        <f>Materiais[[#This Row],[Valor Venda c/ Comissões (R$)]]/(1-Materiais[[#This Row],[Tributos
(%)]])-Materiais[[#This Row],[Valor Venda c/ Comissões (R$)]]</f>
        <v>0</v>
      </c>
      <c r="S324" s="76">
        <f>Materiais[[#This Row],[Valor Venda c/ Comissões (R$)]]+Materiais[[#This Row],[Tributos
(R$)]]</f>
        <v>0</v>
      </c>
      <c r="T324" s="185"/>
      <c r="U324" s="186">
        <f ca="1">IF(Materiais[[#This Row],[Data Update]] = "",0,IF(_xlfn.DAYS(NOW(),Materiais[[#This Row],[Data Update]])&lt;=0,0,_xlfn.DAYS(NOW(),Materiais[[#This Row],[Data Update]])))</f>
        <v>0</v>
      </c>
    </row>
    <row r="325" spans="1:21" x14ac:dyDescent="0.2">
      <c r="A325" s="46"/>
      <c r="B325" s="46"/>
      <c r="C325" s="46"/>
      <c r="D325" s="46"/>
      <c r="E325" s="46"/>
      <c r="F325" s="138"/>
      <c r="G325" s="129"/>
      <c r="H325" s="180"/>
      <c r="I325" s="5">
        <f>(Materiais[[#This Row],[Qtde.]]*Materiais[[#This Row],[Custo Unitário
Sem Tributos (R$)]])</f>
        <v>0</v>
      </c>
      <c r="J325" s="92">
        <v>0</v>
      </c>
      <c r="K325" s="140">
        <f>Materiais[[#This Row],[Custo Total
Sem Tributos (R$)]]*Materiais[[#This Row],[IPI
(%)]]+Materiais[[#This Row],[Custo Total
Sem Tributos (R$)]]</f>
        <v>0</v>
      </c>
      <c r="L325" s="92">
        <v>0.1</v>
      </c>
      <c r="M325" s="76">
        <f>Materiais[[#This Row],[Custo Total
Com IPI (R$)]]/(1-Materiais[[#This Row],[Margem
(%)]])</f>
        <v>0</v>
      </c>
      <c r="N325" s="16">
        <f>Materiais[[#This Row],[Valor Venda c/ Potencial Desconto  em Material (R$)]]-Materiais[[#This Row],[Custo Total
Com IPI (R$)]]</f>
        <v>0</v>
      </c>
      <c r="O325" s="93">
        <f>Materiais[[#This Row],[Valor Total
Com Margem
Sem Tributos   (R$)]]/(1-('Valores Finais'!$C$10))</f>
        <v>0</v>
      </c>
      <c r="P325" s="93">
        <f>Materiais[[#This Row],[Valor Venda c/ Potencial Desconto  em Material (R$)]]/(1-('Valores Finais'!$B$6))</f>
        <v>0</v>
      </c>
      <c r="Q325" s="84">
        <f>'Valores Finais'!$B$10</f>
        <v>0.12</v>
      </c>
      <c r="R325" s="76">
        <f>Materiais[[#This Row],[Valor Venda c/ Comissões (R$)]]/(1-Materiais[[#This Row],[Tributos
(%)]])-Materiais[[#This Row],[Valor Venda c/ Comissões (R$)]]</f>
        <v>0</v>
      </c>
      <c r="S325" s="76">
        <f>Materiais[[#This Row],[Valor Venda c/ Comissões (R$)]]+Materiais[[#This Row],[Tributos
(R$)]]</f>
        <v>0</v>
      </c>
      <c r="T325" s="185"/>
      <c r="U325" s="186">
        <f ca="1">IF(Materiais[[#This Row],[Data Update]] = "",0,IF(_xlfn.DAYS(NOW(),Materiais[[#This Row],[Data Update]])&lt;=0,0,_xlfn.DAYS(NOW(),Materiais[[#This Row],[Data Update]])))</f>
        <v>0</v>
      </c>
    </row>
    <row r="326" spans="1:21" x14ac:dyDescent="0.2">
      <c r="A326" s="46"/>
      <c r="B326" s="46"/>
      <c r="C326" s="46"/>
      <c r="D326" s="46"/>
      <c r="E326" s="46"/>
      <c r="F326" s="138"/>
      <c r="G326" s="129"/>
      <c r="H326" s="180"/>
      <c r="I326" s="5">
        <f>(Materiais[[#This Row],[Qtde.]]*Materiais[[#This Row],[Custo Unitário
Sem Tributos (R$)]])</f>
        <v>0</v>
      </c>
      <c r="J326" s="92">
        <v>0</v>
      </c>
      <c r="K326" s="140">
        <f>Materiais[[#This Row],[Custo Total
Sem Tributos (R$)]]*Materiais[[#This Row],[IPI
(%)]]+Materiais[[#This Row],[Custo Total
Sem Tributos (R$)]]</f>
        <v>0</v>
      </c>
      <c r="L326" s="92">
        <v>0.1</v>
      </c>
      <c r="M326" s="76">
        <f>Materiais[[#This Row],[Custo Total
Com IPI (R$)]]/(1-Materiais[[#This Row],[Margem
(%)]])</f>
        <v>0</v>
      </c>
      <c r="N326" s="16">
        <f>Materiais[[#This Row],[Valor Venda c/ Potencial Desconto  em Material (R$)]]-Materiais[[#This Row],[Custo Total
Com IPI (R$)]]</f>
        <v>0</v>
      </c>
      <c r="O326" s="93">
        <f>Materiais[[#This Row],[Valor Total
Com Margem
Sem Tributos   (R$)]]/(1-('Valores Finais'!$C$10))</f>
        <v>0</v>
      </c>
      <c r="P326" s="93">
        <f>Materiais[[#This Row],[Valor Venda c/ Potencial Desconto  em Material (R$)]]/(1-('Valores Finais'!$B$6))</f>
        <v>0</v>
      </c>
      <c r="Q326" s="84">
        <f>'Valores Finais'!$B$10</f>
        <v>0.12</v>
      </c>
      <c r="R326" s="76">
        <f>Materiais[[#This Row],[Valor Venda c/ Comissões (R$)]]/(1-Materiais[[#This Row],[Tributos
(%)]])-Materiais[[#This Row],[Valor Venda c/ Comissões (R$)]]</f>
        <v>0</v>
      </c>
      <c r="S326" s="76">
        <f>Materiais[[#This Row],[Valor Venda c/ Comissões (R$)]]+Materiais[[#This Row],[Tributos
(R$)]]</f>
        <v>0</v>
      </c>
      <c r="T326" s="185"/>
      <c r="U326" s="186">
        <f ca="1">IF(Materiais[[#This Row],[Data Update]] = "",0,IF(_xlfn.DAYS(NOW(),Materiais[[#This Row],[Data Update]])&lt;=0,0,_xlfn.DAYS(NOW(),Materiais[[#This Row],[Data Update]])))</f>
        <v>0</v>
      </c>
    </row>
    <row r="327" spans="1:21" x14ac:dyDescent="0.2">
      <c r="A327" s="46"/>
      <c r="B327" s="46"/>
      <c r="C327" s="46"/>
      <c r="D327" s="46"/>
      <c r="E327" s="46"/>
      <c r="F327" s="138"/>
      <c r="G327" s="129"/>
      <c r="H327" s="180"/>
      <c r="I327" s="5">
        <f>(Materiais[[#This Row],[Qtde.]]*Materiais[[#This Row],[Custo Unitário
Sem Tributos (R$)]])</f>
        <v>0</v>
      </c>
      <c r="J327" s="92">
        <v>0</v>
      </c>
      <c r="K327" s="140">
        <f>Materiais[[#This Row],[Custo Total
Sem Tributos (R$)]]*Materiais[[#This Row],[IPI
(%)]]+Materiais[[#This Row],[Custo Total
Sem Tributos (R$)]]</f>
        <v>0</v>
      </c>
      <c r="L327" s="92">
        <v>0.1</v>
      </c>
      <c r="M327" s="76">
        <f>Materiais[[#This Row],[Custo Total
Com IPI (R$)]]/(1-Materiais[[#This Row],[Margem
(%)]])</f>
        <v>0</v>
      </c>
      <c r="N327" s="16">
        <f>Materiais[[#This Row],[Valor Venda c/ Potencial Desconto  em Material (R$)]]-Materiais[[#This Row],[Custo Total
Com IPI (R$)]]</f>
        <v>0</v>
      </c>
      <c r="O327" s="93">
        <f>Materiais[[#This Row],[Valor Total
Com Margem
Sem Tributos   (R$)]]/(1-('Valores Finais'!$C$10))</f>
        <v>0</v>
      </c>
      <c r="P327" s="93">
        <f>Materiais[[#This Row],[Valor Venda c/ Potencial Desconto  em Material (R$)]]/(1-('Valores Finais'!$B$6))</f>
        <v>0</v>
      </c>
      <c r="Q327" s="84">
        <f>'Valores Finais'!$B$10</f>
        <v>0.12</v>
      </c>
      <c r="R327" s="76">
        <f>Materiais[[#This Row],[Valor Venda c/ Comissões (R$)]]/(1-Materiais[[#This Row],[Tributos
(%)]])-Materiais[[#This Row],[Valor Venda c/ Comissões (R$)]]</f>
        <v>0</v>
      </c>
      <c r="S327" s="76">
        <f>Materiais[[#This Row],[Valor Venda c/ Comissões (R$)]]+Materiais[[#This Row],[Tributos
(R$)]]</f>
        <v>0</v>
      </c>
      <c r="T327" s="185"/>
      <c r="U327" s="186">
        <f ca="1">IF(Materiais[[#This Row],[Data Update]] = "",0,IF(_xlfn.DAYS(NOW(),Materiais[[#This Row],[Data Update]])&lt;=0,0,_xlfn.DAYS(NOW(),Materiais[[#This Row],[Data Update]])))</f>
        <v>0</v>
      </c>
    </row>
    <row r="328" spans="1:21" x14ac:dyDescent="0.2">
      <c r="A328" s="46"/>
      <c r="B328" s="46"/>
      <c r="C328" s="46"/>
      <c r="D328" s="46"/>
      <c r="E328" s="46"/>
      <c r="F328" s="138"/>
      <c r="G328" s="129"/>
      <c r="H328" s="180"/>
      <c r="I328" s="5">
        <f>(Materiais[[#This Row],[Qtde.]]*Materiais[[#This Row],[Custo Unitário
Sem Tributos (R$)]])</f>
        <v>0</v>
      </c>
      <c r="J328" s="92">
        <v>0</v>
      </c>
      <c r="K328" s="140">
        <f>Materiais[[#This Row],[Custo Total
Sem Tributos (R$)]]*Materiais[[#This Row],[IPI
(%)]]+Materiais[[#This Row],[Custo Total
Sem Tributos (R$)]]</f>
        <v>0</v>
      </c>
      <c r="L328" s="92">
        <v>0.1</v>
      </c>
      <c r="M328" s="76">
        <f>Materiais[[#This Row],[Custo Total
Com IPI (R$)]]/(1-Materiais[[#This Row],[Margem
(%)]])</f>
        <v>0</v>
      </c>
      <c r="N328" s="16">
        <f>Materiais[[#This Row],[Valor Venda c/ Potencial Desconto  em Material (R$)]]-Materiais[[#This Row],[Custo Total
Com IPI (R$)]]</f>
        <v>0</v>
      </c>
      <c r="O328" s="93">
        <f>Materiais[[#This Row],[Valor Total
Com Margem
Sem Tributos   (R$)]]/(1-('Valores Finais'!$C$10))</f>
        <v>0</v>
      </c>
      <c r="P328" s="93">
        <f>Materiais[[#This Row],[Valor Venda c/ Potencial Desconto  em Material (R$)]]/(1-('Valores Finais'!$B$6))</f>
        <v>0</v>
      </c>
      <c r="Q328" s="84">
        <f>'Valores Finais'!$B$10</f>
        <v>0.12</v>
      </c>
      <c r="R328" s="76">
        <f>Materiais[[#This Row],[Valor Venda c/ Comissões (R$)]]/(1-Materiais[[#This Row],[Tributos
(%)]])-Materiais[[#This Row],[Valor Venda c/ Comissões (R$)]]</f>
        <v>0</v>
      </c>
      <c r="S328" s="76">
        <f>Materiais[[#This Row],[Valor Venda c/ Comissões (R$)]]+Materiais[[#This Row],[Tributos
(R$)]]</f>
        <v>0</v>
      </c>
      <c r="T328" s="185"/>
      <c r="U328" s="186">
        <f ca="1">IF(Materiais[[#This Row],[Data Update]] = "",0,IF(_xlfn.DAYS(NOW(),Materiais[[#This Row],[Data Update]])&lt;=0,0,_xlfn.DAYS(NOW(),Materiais[[#This Row],[Data Update]])))</f>
        <v>0</v>
      </c>
    </row>
    <row r="329" spans="1:21" x14ac:dyDescent="0.2">
      <c r="A329" s="46"/>
      <c r="B329" s="46"/>
      <c r="C329" s="46"/>
      <c r="D329" s="46"/>
      <c r="E329" s="46"/>
      <c r="F329" s="138"/>
      <c r="G329" s="129"/>
      <c r="H329" s="180"/>
      <c r="I329" s="5">
        <f>(Materiais[[#This Row],[Qtde.]]*Materiais[[#This Row],[Custo Unitário
Sem Tributos (R$)]])</f>
        <v>0</v>
      </c>
      <c r="J329" s="92">
        <v>0</v>
      </c>
      <c r="K329" s="140">
        <f>Materiais[[#This Row],[Custo Total
Sem Tributos (R$)]]*Materiais[[#This Row],[IPI
(%)]]+Materiais[[#This Row],[Custo Total
Sem Tributos (R$)]]</f>
        <v>0</v>
      </c>
      <c r="L329" s="92">
        <v>0.1</v>
      </c>
      <c r="M329" s="76">
        <f>Materiais[[#This Row],[Custo Total
Com IPI (R$)]]/(1-Materiais[[#This Row],[Margem
(%)]])</f>
        <v>0</v>
      </c>
      <c r="N329" s="16">
        <f>Materiais[[#This Row],[Valor Venda c/ Potencial Desconto  em Material (R$)]]-Materiais[[#This Row],[Custo Total
Com IPI (R$)]]</f>
        <v>0</v>
      </c>
      <c r="O329" s="93">
        <f>Materiais[[#This Row],[Valor Total
Com Margem
Sem Tributos   (R$)]]/(1-('Valores Finais'!$C$10))</f>
        <v>0</v>
      </c>
      <c r="P329" s="93">
        <f>Materiais[[#This Row],[Valor Venda c/ Potencial Desconto  em Material (R$)]]/(1-('Valores Finais'!$B$6))</f>
        <v>0</v>
      </c>
      <c r="Q329" s="84">
        <f>'Valores Finais'!$B$10</f>
        <v>0.12</v>
      </c>
      <c r="R329" s="76">
        <f>Materiais[[#This Row],[Valor Venda c/ Comissões (R$)]]/(1-Materiais[[#This Row],[Tributos
(%)]])-Materiais[[#This Row],[Valor Venda c/ Comissões (R$)]]</f>
        <v>0</v>
      </c>
      <c r="S329" s="76">
        <f>Materiais[[#This Row],[Valor Venda c/ Comissões (R$)]]+Materiais[[#This Row],[Tributos
(R$)]]</f>
        <v>0</v>
      </c>
      <c r="T329" s="185"/>
      <c r="U329" s="186">
        <f ca="1">IF(Materiais[[#This Row],[Data Update]] = "",0,IF(_xlfn.DAYS(NOW(),Materiais[[#This Row],[Data Update]])&lt;=0,0,_xlfn.DAYS(NOW(),Materiais[[#This Row],[Data Update]])))</f>
        <v>0</v>
      </c>
    </row>
    <row r="330" spans="1:21" x14ac:dyDescent="0.2">
      <c r="A330" s="46"/>
      <c r="B330" s="46"/>
      <c r="C330" s="46"/>
      <c r="D330" s="46"/>
      <c r="E330" s="46"/>
      <c r="F330" s="138"/>
      <c r="G330" s="129"/>
      <c r="H330" s="180"/>
      <c r="I330" s="5">
        <f>(Materiais[[#This Row],[Qtde.]]*Materiais[[#This Row],[Custo Unitário
Sem Tributos (R$)]])</f>
        <v>0</v>
      </c>
      <c r="J330" s="92">
        <v>0</v>
      </c>
      <c r="K330" s="140">
        <f>Materiais[[#This Row],[Custo Total
Sem Tributos (R$)]]*Materiais[[#This Row],[IPI
(%)]]+Materiais[[#This Row],[Custo Total
Sem Tributos (R$)]]</f>
        <v>0</v>
      </c>
      <c r="L330" s="92">
        <v>0.1</v>
      </c>
      <c r="M330" s="76">
        <f>Materiais[[#This Row],[Custo Total
Com IPI (R$)]]/(1-Materiais[[#This Row],[Margem
(%)]])</f>
        <v>0</v>
      </c>
      <c r="N330" s="16">
        <f>Materiais[[#This Row],[Valor Venda c/ Potencial Desconto  em Material (R$)]]-Materiais[[#This Row],[Custo Total
Com IPI (R$)]]</f>
        <v>0</v>
      </c>
      <c r="O330" s="93">
        <f>Materiais[[#This Row],[Valor Total
Com Margem
Sem Tributos   (R$)]]/(1-('Valores Finais'!$C$10))</f>
        <v>0</v>
      </c>
      <c r="P330" s="93">
        <f>Materiais[[#This Row],[Valor Venda c/ Potencial Desconto  em Material (R$)]]/(1-('Valores Finais'!$B$6))</f>
        <v>0</v>
      </c>
      <c r="Q330" s="84">
        <f>'Valores Finais'!$B$10</f>
        <v>0.12</v>
      </c>
      <c r="R330" s="76">
        <f>Materiais[[#This Row],[Valor Venda c/ Comissões (R$)]]/(1-Materiais[[#This Row],[Tributos
(%)]])-Materiais[[#This Row],[Valor Venda c/ Comissões (R$)]]</f>
        <v>0</v>
      </c>
      <c r="S330" s="76">
        <f>Materiais[[#This Row],[Valor Venda c/ Comissões (R$)]]+Materiais[[#This Row],[Tributos
(R$)]]</f>
        <v>0</v>
      </c>
      <c r="T330" s="185"/>
      <c r="U330" s="186">
        <f ca="1">IF(Materiais[[#This Row],[Data Update]] = "",0,IF(_xlfn.DAYS(NOW(),Materiais[[#This Row],[Data Update]])&lt;=0,0,_xlfn.DAYS(NOW(),Materiais[[#This Row],[Data Update]])))</f>
        <v>0</v>
      </c>
    </row>
    <row r="331" spans="1:21" x14ac:dyDescent="0.2">
      <c r="A331" s="46"/>
      <c r="B331" s="46"/>
      <c r="C331" s="46"/>
      <c r="D331" s="46"/>
      <c r="E331" s="46"/>
      <c r="F331" s="138"/>
      <c r="G331" s="129"/>
      <c r="H331" s="180"/>
      <c r="I331" s="5">
        <f>(Materiais[[#This Row],[Qtde.]]*Materiais[[#This Row],[Custo Unitário
Sem Tributos (R$)]])</f>
        <v>0</v>
      </c>
      <c r="J331" s="92">
        <v>0</v>
      </c>
      <c r="K331" s="140">
        <f>Materiais[[#This Row],[Custo Total
Sem Tributos (R$)]]*Materiais[[#This Row],[IPI
(%)]]+Materiais[[#This Row],[Custo Total
Sem Tributos (R$)]]</f>
        <v>0</v>
      </c>
      <c r="L331" s="92">
        <v>0.1</v>
      </c>
      <c r="M331" s="76">
        <f>Materiais[[#This Row],[Custo Total
Com IPI (R$)]]/(1-Materiais[[#This Row],[Margem
(%)]])</f>
        <v>0</v>
      </c>
      <c r="N331" s="16">
        <f>Materiais[[#This Row],[Valor Venda c/ Potencial Desconto  em Material (R$)]]-Materiais[[#This Row],[Custo Total
Com IPI (R$)]]</f>
        <v>0</v>
      </c>
      <c r="O331" s="93">
        <f>Materiais[[#This Row],[Valor Total
Com Margem
Sem Tributos   (R$)]]/(1-('Valores Finais'!$C$10))</f>
        <v>0</v>
      </c>
      <c r="P331" s="93">
        <f>Materiais[[#This Row],[Valor Venda c/ Potencial Desconto  em Material (R$)]]/(1-('Valores Finais'!$B$6))</f>
        <v>0</v>
      </c>
      <c r="Q331" s="84">
        <f>'Valores Finais'!$B$10</f>
        <v>0.12</v>
      </c>
      <c r="R331" s="76">
        <f>Materiais[[#This Row],[Valor Venda c/ Comissões (R$)]]/(1-Materiais[[#This Row],[Tributos
(%)]])-Materiais[[#This Row],[Valor Venda c/ Comissões (R$)]]</f>
        <v>0</v>
      </c>
      <c r="S331" s="76">
        <f>Materiais[[#This Row],[Valor Venda c/ Comissões (R$)]]+Materiais[[#This Row],[Tributos
(R$)]]</f>
        <v>0</v>
      </c>
      <c r="T331" s="185"/>
      <c r="U331" s="186">
        <f ca="1">IF(Materiais[[#This Row],[Data Update]] = "",0,IF(_xlfn.DAYS(NOW(),Materiais[[#This Row],[Data Update]])&lt;=0,0,_xlfn.DAYS(NOW(),Materiais[[#This Row],[Data Update]])))</f>
        <v>0</v>
      </c>
    </row>
    <row r="332" spans="1:21" x14ac:dyDescent="0.2">
      <c r="A332" s="46"/>
      <c r="B332" s="46"/>
      <c r="C332" s="46"/>
      <c r="D332" s="46"/>
      <c r="E332" s="46"/>
      <c r="F332" s="138"/>
      <c r="G332" s="129"/>
      <c r="H332" s="180"/>
      <c r="I332" s="5">
        <f>(Materiais[[#This Row],[Qtde.]]*Materiais[[#This Row],[Custo Unitário
Sem Tributos (R$)]])</f>
        <v>0</v>
      </c>
      <c r="J332" s="92">
        <v>0</v>
      </c>
      <c r="K332" s="140">
        <f>Materiais[[#This Row],[Custo Total
Sem Tributos (R$)]]*Materiais[[#This Row],[IPI
(%)]]+Materiais[[#This Row],[Custo Total
Sem Tributos (R$)]]</f>
        <v>0</v>
      </c>
      <c r="L332" s="92">
        <v>0.1</v>
      </c>
      <c r="M332" s="76">
        <f>Materiais[[#This Row],[Custo Total
Com IPI (R$)]]/(1-Materiais[[#This Row],[Margem
(%)]])</f>
        <v>0</v>
      </c>
      <c r="N332" s="16">
        <f>Materiais[[#This Row],[Valor Venda c/ Potencial Desconto  em Material (R$)]]-Materiais[[#This Row],[Custo Total
Com IPI (R$)]]</f>
        <v>0</v>
      </c>
      <c r="O332" s="93">
        <f>Materiais[[#This Row],[Valor Total
Com Margem
Sem Tributos   (R$)]]/(1-('Valores Finais'!$C$10))</f>
        <v>0</v>
      </c>
      <c r="P332" s="93">
        <f>Materiais[[#This Row],[Valor Venda c/ Potencial Desconto  em Material (R$)]]/(1-('Valores Finais'!$B$6))</f>
        <v>0</v>
      </c>
      <c r="Q332" s="84">
        <f>'Valores Finais'!$B$10</f>
        <v>0.12</v>
      </c>
      <c r="R332" s="76">
        <f>Materiais[[#This Row],[Valor Venda c/ Comissões (R$)]]/(1-Materiais[[#This Row],[Tributos
(%)]])-Materiais[[#This Row],[Valor Venda c/ Comissões (R$)]]</f>
        <v>0</v>
      </c>
      <c r="S332" s="76">
        <f>Materiais[[#This Row],[Valor Venda c/ Comissões (R$)]]+Materiais[[#This Row],[Tributos
(R$)]]</f>
        <v>0</v>
      </c>
      <c r="T332" s="185"/>
      <c r="U332" s="186">
        <f ca="1">IF(Materiais[[#This Row],[Data Update]] = "",0,IF(_xlfn.DAYS(NOW(),Materiais[[#This Row],[Data Update]])&lt;=0,0,_xlfn.DAYS(NOW(),Materiais[[#This Row],[Data Update]])))</f>
        <v>0</v>
      </c>
    </row>
    <row r="333" spans="1:21" x14ac:dyDescent="0.2">
      <c r="A333" s="46"/>
      <c r="B333" s="46"/>
      <c r="C333" s="46"/>
      <c r="D333" s="46"/>
      <c r="E333" s="46"/>
      <c r="F333" s="138"/>
      <c r="G333" s="129"/>
      <c r="H333" s="180"/>
      <c r="I333" s="5">
        <f>(Materiais[[#This Row],[Qtde.]]*Materiais[[#This Row],[Custo Unitário
Sem Tributos (R$)]])</f>
        <v>0</v>
      </c>
      <c r="J333" s="92">
        <v>0</v>
      </c>
      <c r="K333" s="140">
        <f>Materiais[[#This Row],[Custo Total
Sem Tributos (R$)]]*Materiais[[#This Row],[IPI
(%)]]+Materiais[[#This Row],[Custo Total
Sem Tributos (R$)]]</f>
        <v>0</v>
      </c>
      <c r="L333" s="92">
        <v>0.1</v>
      </c>
      <c r="M333" s="76">
        <f>Materiais[[#This Row],[Custo Total
Com IPI (R$)]]/(1-Materiais[[#This Row],[Margem
(%)]])</f>
        <v>0</v>
      </c>
      <c r="N333" s="16">
        <f>Materiais[[#This Row],[Valor Venda c/ Potencial Desconto  em Material (R$)]]-Materiais[[#This Row],[Custo Total
Com IPI (R$)]]</f>
        <v>0</v>
      </c>
      <c r="O333" s="93">
        <f>Materiais[[#This Row],[Valor Total
Com Margem
Sem Tributos   (R$)]]/(1-('Valores Finais'!$C$10))</f>
        <v>0</v>
      </c>
      <c r="P333" s="93">
        <f>Materiais[[#This Row],[Valor Venda c/ Potencial Desconto  em Material (R$)]]/(1-('Valores Finais'!$B$6))</f>
        <v>0</v>
      </c>
      <c r="Q333" s="84">
        <f>'Valores Finais'!$B$10</f>
        <v>0.12</v>
      </c>
      <c r="R333" s="76">
        <f>Materiais[[#This Row],[Valor Venda c/ Comissões (R$)]]/(1-Materiais[[#This Row],[Tributos
(%)]])-Materiais[[#This Row],[Valor Venda c/ Comissões (R$)]]</f>
        <v>0</v>
      </c>
      <c r="S333" s="76">
        <f>Materiais[[#This Row],[Valor Venda c/ Comissões (R$)]]+Materiais[[#This Row],[Tributos
(R$)]]</f>
        <v>0</v>
      </c>
      <c r="T333" s="185"/>
      <c r="U333" s="186">
        <f ca="1">IF(Materiais[[#This Row],[Data Update]] = "",0,IF(_xlfn.DAYS(NOW(),Materiais[[#This Row],[Data Update]])&lt;=0,0,_xlfn.DAYS(NOW(),Materiais[[#This Row],[Data Update]])))</f>
        <v>0</v>
      </c>
    </row>
    <row r="334" spans="1:21" x14ac:dyDescent="0.2">
      <c r="A334" s="46"/>
      <c r="B334" s="46"/>
      <c r="C334" s="46"/>
      <c r="D334" s="46"/>
      <c r="E334" s="46"/>
      <c r="F334" s="138"/>
      <c r="G334" s="129"/>
      <c r="H334" s="180"/>
      <c r="I334" s="5">
        <f>(Materiais[[#This Row],[Qtde.]]*Materiais[[#This Row],[Custo Unitário
Sem Tributos (R$)]])</f>
        <v>0</v>
      </c>
      <c r="J334" s="92">
        <v>0</v>
      </c>
      <c r="K334" s="140">
        <f>Materiais[[#This Row],[Custo Total
Sem Tributos (R$)]]*Materiais[[#This Row],[IPI
(%)]]+Materiais[[#This Row],[Custo Total
Sem Tributos (R$)]]</f>
        <v>0</v>
      </c>
      <c r="L334" s="92">
        <v>0.1</v>
      </c>
      <c r="M334" s="76">
        <f>Materiais[[#This Row],[Custo Total
Com IPI (R$)]]/(1-Materiais[[#This Row],[Margem
(%)]])</f>
        <v>0</v>
      </c>
      <c r="N334" s="16">
        <f>Materiais[[#This Row],[Valor Venda c/ Potencial Desconto  em Material (R$)]]-Materiais[[#This Row],[Custo Total
Com IPI (R$)]]</f>
        <v>0</v>
      </c>
      <c r="O334" s="93">
        <f>Materiais[[#This Row],[Valor Total
Com Margem
Sem Tributos   (R$)]]/(1-('Valores Finais'!$C$10))</f>
        <v>0</v>
      </c>
      <c r="P334" s="93">
        <f>Materiais[[#This Row],[Valor Venda c/ Potencial Desconto  em Material (R$)]]/(1-('Valores Finais'!$B$6))</f>
        <v>0</v>
      </c>
      <c r="Q334" s="84">
        <f>'Valores Finais'!$B$10</f>
        <v>0.12</v>
      </c>
      <c r="R334" s="76">
        <f>Materiais[[#This Row],[Valor Venda c/ Comissões (R$)]]/(1-Materiais[[#This Row],[Tributos
(%)]])-Materiais[[#This Row],[Valor Venda c/ Comissões (R$)]]</f>
        <v>0</v>
      </c>
      <c r="S334" s="76">
        <f>Materiais[[#This Row],[Valor Venda c/ Comissões (R$)]]+Materiais[[#This Row],[Tributos
(R$)]]</f>
        <v>0</v>
      </c>
      <c r="T334" s="185"/>
      <c r="U334" s="186">
        <f ca="1">IF(Materiais[[#This Row],[Data Update]] = "",0,IF(_xlfn.DAYS(NOW(),Materiais[[#This Row],[Data Update]])&lt;=0,0,_xlfn.DAYS(NOW(),Materiais[[#This Row],[Data Update]])))</f>
        <v>0</v>
      </c>
    </row>
    <row r="335" spans="1:21" x14ac:dyDescent="0.2">
      <c r="A335" s="46"/>
      <c r="B335" s="46"/>
      <c r="C335" s="46"/>
      <c r="D335" s="46"/>
      <c r="E335" s="46"/>
      <c r="F335" s="138"/>
      <c r="G335" s="129"/>
      <c r="H335" s="180"/>
      <c r="I335" s="5">
        <f>(Materiais[[#This Row],[Qtde.]]*Materiais[[#This Row],[Custo Unitário
Sem Tributos (R$)]])</f>
        <v>0</v>
      </c>
      <c r="J335" s="92">
        <v>0</v>
      </c>
      <c r="K335" s="140">
        <f>Materiais[[#This Row],[Custo Total
Sem Tributos (R$)]]*Materiais[[#This Row],[IPI
(%)]]+Materiais[[#This Row],[Custo Total
Sem Tributos (R$)]]</f>
        <v>0</v>
      </c>
      <c r="L335" s="92">
        <v>0.1</v>
      </c>
      <c r="M335" s="76">
        <f>Materiais[[#This Row],[Custo Total
Com IPI (R$)]]/(1-Materiais[[#This Row],[Margem
(%)]])</f>
        <v>0</v>
      </c>
      <c r="N335" s="16">
        <f>Materiais[[#This Row],[Valor Venda c/ Potencial Desconto  em Material (R$)]]-Materiais[[#This Row],[Custo Total
Com IPI (R$)]]</f>
        <v>0</v>
      </c>
      <c r="O335" s="93">
        <f>Materiais[[#This Row],[Valor Total
Com Margem
Sem Tributos   (R$)]]/(1-('Valores Finais'!$C$10))</f>
        <v>0</v>
      </c>
      <c r="P335" s="93">
        <f>Materiais[[#This Row],[Valor Venda c/ Potencial Desconto  em Material (R$)]]/(1-('Valores Finais'!$B$6))</f>
        <v>0</v>
      </c>
      <c r="Q335" s="84">
        <f>'Valores Finais'!$B$10</f>
        <v>0.12</v>
      </c>
      <c r="R335" s="76">
        <f>Materiais[[#This Row],[Valor Venda c/ Comissões (R$)]]/(1-Materiais[[#This Row],[Tributos
(%)]])-Materiais[[#This Row],[Valor Venda c/ Comissões (R$)]]</f>
        <v>0</v>
      </c>
      <c r="S335" s="76">
        <f>Materiais[[#This Row],[Valor Venda c/ Comissões (R$)]]+Materiais[[#This Row],[Tributos
(R$)]]</f>
        <v>0</v>
      </c>
      <c r="T335" s="185"/>
      <c r="U335" s="186">
        <f ca="1">IF(Materiais[[#This Row],[Data Update]] = "",0,IF(_xlfn.DAYS(NOW(),Materiais[[#This Row],[Data Update]])&lt;=0,0,_xlfn.DAYS(NOW(),Materiais[[#This Row],[Data Update]])))</f>
        <v>0</v>
      </c>
    </row>
    <row r="336" spans="1:21" x14ac:dyDescent="0.2">
      <c r="A336" s="46"/>
      <c r="B336" s="46"/>
      <c r="C336" s="46"/>
      <c r="D336" s="46"/>
      <c r="E336" s="46"/>
      <c r="F336" s="138"/>
      <c r="G336" s="129"/>
      <c r="H336" s="180"/>
      <c r="I336" s="5">
        <f>(Materiais[[#This Row],[Qtde.]]*Materiais[[#This Row],[Custo Unitário
Sem Tributos (R$)]])</f>
        <v>0</v>
      </c>
      <c r="J336" s="92">
        <v>0</v>
      </c>
      <c r="K336" s="140">
        <f>Materiais[[#This Row],[Custo Total
Sem Tributos (R$)]]*Materiais[[#This Row],[IPI
(%)]]+Materiais[[#This Row],[Custo Total
Sem Tributos (R$)]]</f>
        <v>0</v>
      </c>
      <c r="L336" s="92">
        <v>0.1</v>
      </c>
      <c r="M336" s="76">
        <f>Materiais[[#This Row],[Custo Total
Com IPI (R$)]]/(1-Materiais[[#This Row],[Margem
(%)]])</f>
        <v>0</v>
      </c>
      <c r="N336" s="16">
        <f>Materiais[[#This Row],[Valor Venda c/ Potencial Desconto  em Material (R$)]]-Materiais[[#This Row],[Custo Total
Com IPI (R$)]]</f>
        <v>0</v>
      </c>
      <c r="O336" s="93">
        <f>Materiais[[#This Row],[Valor Total
Com Margem
Sem Tributos   (R$)]]/(1-('Valores Finais'!$C$10))</f>
        <v>0</v>
      </c>
      <c r="P336" s="93">
        <f>Materiais[[#This Row],[Valor Venda c/ Potencial Desconto  em Material (R$)]]/(1-('Valores Finais'!$B$6))</f>
        <v>0</v>
      </c>
      <c r="Q336" s="84">
        <f>'Valores Finais'!$B$10</f>
        <v>0.12</v>
      </c>
      <c r="R336" s="76">
        <f>Materiais[[#This Row],[Valor Venda c/ Comissões (R$)]]/(1-Materiais[[#This Row],[Tributos
(%)]])-Materiais[[#This Row],[Valor Venda c/ Comissões (R$)]]</f>
        <v>0</v>
      </c>
      <c r="S336" s="76">
        <f>Materiais[[#This Row],[Valor Venda c/ Comissões (R$)]]+Materiais[[#This Row],[Tributos
(R$)]]</f>
        <v>0</v>
      </c>
      <c r="T336" s="185"/>
      <c r="U336" s="186">
        <f ca="1">IF(Materiais[[#This Row],[Data Update]] = "",0,IF(_xlfn.DAYS(NOW(),Materiais[[#This Row],[Data Update]])&lt;=0,0,_xlfn.DAYS(NOW(),Materiais[[#This Row],[Data Update]])))</f>
        <v>0</v>
      </c>
    </row>
    <row r="337" spans="1:21" x14ac:dyDescent="0.2">
      <c r="A337" s="46"/>
      <c r="B337" s="46"/>
      <c r="C337" s="46"/>
      <c r="D337" s="46"/>
      <c r="E337" s="46"/>
      <c r="F337" s="138"/>
      <c r="G337" s="129"/>
      <c r="H337" s="180"/>
      <c r="I337" s="5">
        <f>(Materiais[[#This Row],[Qtde.]]*Materiais[[#This Row],[Custo Unitário
Sem Tributos (R$)]])</f>
        <v>0</v>
      </c>
      <c r="J337" s="92">
        <v>0</v>
      </c>
      <c r="K337" s="140">
        <f>Materiais[[#This Row],[Custo Total
Sem Tributos (R$)]]*Materiais[[#This Row],[IPI
(%)]]+Materiais[[#This Row],[Custo Total
Sem Tributos (R$)]]</f>
        <v>0</v>
      </c>
      <c r="L337" s="92">
        <v>0.1</v>
      </c>
      <c r="M337" s="76">
        <f>Materiais[[#This Row],[Custo Total
Com IPI (R$)]]/(1-Materiais[[#This Row],[Margem
(%)]])</f>
        <v>0</v>
      </c>
      <c r="N337" s="16">
        <f>Materiais[[#This Row],[Valor Venda c/ Potencial Desconto  em Material (R$)]]-Materiais[[#This Row],[Custo Total
Com IPI (R$)]]</f>
        <v>0</v>
      </c>
      <c r="O337" s="93">
        <f>Materiais[[#This Row],[Valor Total
Com Margem
Sem Tributos   (R$)]]/(1-('Valores Finais'!$C$10))</f>
        <v>0</v>
      </c>
      <c r="P337" s="93">
        <f>Materiais[[#This Row],[Valor Venda c/ Potencial Desconto  em Material (R$)]]/(1-('Valores Finais'!$B$6))</f>
        <v>0</v>
      </c>
      <c r="Q337" s="84">
        <f>'Valores Finais'!$B$10</f>
        <v>0.12</v>
      </c>
      <c r="R337" s="76">
        <f>Materiais[[#This Row],[Valor Venda c/ Comissões (R$)]]/(1-Materiais[[#This Row],[Tributos
(%)]])-Materiais[[#This Row],[Valor Venda c/ Comissões (R$)]]</f>
        <v>0</v>
      </c>
      <c r="S337" s="76">
        <f>Materiais[[#This Row],[Valor Venda c/ Comissões (R$)]]+Materiais[[#This Row],[Tributos
(R$)]]</f>
        <v>0</v>
      </c>
      <c r="T337" s="185"/>
      <c r="U337" s="186">
        <f ca="1">IF(Materiais[[#This Row],[Data Update]] = "",0,IF(_xlfn.DAYS(NOW(),Materiais[[#This Row],[Data Update]])&lt;=0,0,_xlfn.DAYS(NOW(),Materiais[[#This Row],[Data Update]])))</f>
        <v>0</v>
      </c>
    </row>
    <row r="338" spans="1:21" x14ac:dyDescent="0.2">
      <c r="A338" s="46"/>
      <c r="B338" s="46"/>
      <c r="C338" s="46"/>
      <c r="D338" s="46"/>
      <c r="E338" s="46"/>
      <c r="F338" s="138"/>
      <c r="G338" s="129"/>
      <c r="H338" s="180"/>
      <c r="I338" s="5">
        <f>(Materiais[[#This Row],[Qtde.]]*Materiais[[#This Row],[Custo Unitário
Sem Tributos (R$)]])</f>
        <v>0</v>
      </c>
      <c r="J338" s="92">
        <v>0</v>
      </c>
      <c r="K338" s="140">
        <f>Materiais[[#This Row],[Custo Total
Sem Tributos (R$)]]*Materiais[[#This Row],[IPI
(%)]]+Materiais[[#This Row],[Custo Total
Sem Tributos (R$)]]</f>
        <v>0</v>
      </c>
      <c r="L338" s="92">
        <v>0.1</v>
      </c>
      <c r="M338" s="76">
        <f>Materiais[[#This Row],[Custo Total
Com IPI (R$)]]/(1-Materiais[[#This Row],[Margem
(%)]])</f>
        <v>0</v>
      </c>
      <c r="N338" s="16">
        <f>Materiais[[#This Row],[Valor Venda c/ Potencial Desconto  em Material (R$)]]-Materiais[[#This Row],[Custo Total
Com IPI (R$)]]</f>
        <v>0</v>
      </c>
      <c r="O338" s="93">
        <f>Materiais[[#This Row],[Valor Total
Com Margem
Sem Tributos   (R$)]]/(1-('Valores Finais'!$C$10))</f>
        <v>0</v>
      </c>
      <c r="P338" s="93">
        <f>Materiais[[#This Row],[Valor Venda c/ Potencial Desconto  em Material (R$)]]/(1-('Valores Finais'!$B$6))</f>
        <v>0</v>
      </c>
      <c r="Q338" s="84">
        <f>'Valores Finais'!$B$10</f>
        <v>0.12</v>
      </c>
      <c r="R338" s="76">
        <f>Materiais[[#This Row],[Valor Venda c/ Comissões (R$)]]/(1-Materiais[[#This Row],[Tributos
(%)]])-Materiais[[#This Row],[Valor Venda c/ Comissões (R$)]]</f>
        <v>0</v>
      </c>
      <c r="S338" s="76">
        <f>Materiais[[#This Row],[Valor Venda c/ Comissões (R$)]]+Materiais[[#This Row],[Tributos
(R$)]]</f>
        <v>0</v>
      </c>
      <c r="T338" s="185"/>
      <c r="U338" s="186">
        <f ca="1">IF(Materiais[[#This Row],[Data Update]] = "",0,IF(_xlfn.DAYS(NOW(),Materiais[[#This Row],[Data Update]])&lt;=0,0,_xlfn.DAYS(NOW(),Materiais[[#This Row],[Data Update]])))</f>
        <v>0</v>
      </c>
    </row>
    <row r="339" spans="1:21" x14ac:dyDescent="0.2">
      <c r="A339" s="46"/>
      <c r="B339" s="46"/>
      <c r="C339" s="46"/>
      <c r="D339" s="46"/>
      <c r="E339" s="46"/>
      <c r="F339" s="138"/>
      <c r="G339" s="129"/>
      <c r="H339" s="180"/>
      <c r="I339" s="5">
        <f>(Materiais[[#This Row],[Qtde.]]*Materiais[[#This Row],[Custo Unitário
Sem Tributos (R$)]])</f>
        <v>0</v>
      </c>
      <c r="J339" s="92">
        <v>0</v>
      </c>
      <c r="K339" s="140">
        <f>Materiais[[#This Row],[Custo Total
Sem Tributos (R$)]]*Materiais[[#This Row],[IPI
(%)]]+Materiais[[#This Row],[Custo Total
Sem Tributos (R$)]]</f>
        <v>0</v>
      </c>
      <c r="L339" s="92">
        <v>0.1</v>
      </c>
      <c r="M339" s="76">
        <f>Materiais[[#This Row],[Custo Total
Com IPI (R$)]]/(1-Materiais[[#This Row],[Margem
(%)]])</f>
        <v>0</v>
      </c>
      <c r="N339" s="16">
        <f>Materiais[[#This Row],[Valor Venda c/ Potencial Desconto  em Material (R$)]]-Materiais[[#This Row],[Custo Total
Com IPI (R$)]]</f>
        <v>0</v>
      </c>
      <c r="O339" s="93">
        <f>Materiais[[#This Row],[Valor Total
Com Margem
Sem Tributos   (R$)]]/(1-('Valores Finais'!$C$10))</f>
        <v>0</v>
      </c>
      <c r="P339" s="93">
        <f>Materiais[[#This Row],[Valor Venda c/ Potencial Desconto  em Material (R$)]]/(1-('Valores Finais'!$B$6))</f>
        <v>0</v>
      </c>
      <c r="Q339" s="84">
        <f>'Valores Finais'!$B$10</f>
        <v>0.12</v>
      </c>
      <c r="R339" s="76">
        <f>Materiais[[#This Row],[Valor Venda c/ Comissões (R$)]]/(1-Materiais[[#This Row],[Tributos
(%)]])-Materiais[[#This Row],[Valor Venda c/ Comissões (R$)]]</f>
        <v>0</v>
      </c>
      <c r="S339" s="76">
        <f>Materiais[[#This Row],[Valor Venda c/ Comissões (R$)]]+Materiais[[#This Row],[Tributos
(R$)]]</f>
        <v>0</v>
      </c>
      <c r="T339" s="185"/>
      <c r="U339" s="186">
        <f ca="1">IF(Materiais[[#This Row],[Data Update]] = "",0,IF(_xlfn.DAYS(NOW(),Materiais[[#This Row],[Data Update]])&lt;=0,0,_xlfn.DAYS(NOW(),Materiais[[#This Row],[Data Update]])))</f>
        <v>0</v>
      </c>
    </row>
    <row r="340" spans="1:21" x14ac:dyDescent="0.2">
      <c r="A340" s="46"/>
      <c r="B340" s="46"/>
      <c r="C340" s="46"/>
      <c r="D340" s="46"/>
      <c r="E340" s="46"/>
      <c r="F340" s="138"/>
      <c r="G340" s="129"/>
      <c r="H340" s="180"/>
      <c r="I340" s="5">
        <f>(Materiais[[#This Row],[Qtde.]]*Materiais[[#This Row],[Custo Unitário
Sem Tributos (R$)]])</f>
        <v>0</v>
      </c>
      <c r="J340" s="92">
        <v>0</v>
      </c>
      <c r="K340" s="140">
        <f>Materiais[[#This Row],[Custo Total
Sem Tributos (R$)]]*Materiais[[#This Row],[IPI
(%)]]+Materiais[[#This Row],[Custo Total
Sem Tributos (R$)]]</f>
        <v>0</v>
      </c>
      <c r="L340" s="92">
        <v>0.1</v>
      </c>
      <c r="M340" s="76">
        <f>Materiais[[#This Row],[Custo Total
Com IPI (R$)]]/(1-Materiais[[#This Row],[Margem
(%)]])</f>
        <v>0</v>
      </c>
      <c r="N340" s="16">
        <f>Materiais[[#This Row],[Valor Venda c/ Potencial Desconto  em Material (R$)]]-Materiais[[#This Row],[Custo Total
Com IPI (R$)]]</f>
        <v>0</v>
      </c>
      <c r="O340" s="93">
        <f>Materiais[[#This Row],[Valor Total
Com Margem
Sem Tributos   (R$)]]/(1-('Valores Finais'!$C$10))</f>
        <v>0</v>
      </c>
      <c r="P340" s="93">
        <f>Materiais[[#This Row],[Valor Venda c/ Potencial Desconto  em Material (R$)]]/(1-('Valores Finais'!$B$6))</f>
        <v>0</v>
      </c>
      <c r="Q340" s="84">
        <f>'Valores Finais'!$B$10</f>
        <v>0.12</v>
      </c>
      <c r="R340" s="76">
        <f>Materiais[[#This Row],[Valor Venda c/ Comissões (R$)]]/(1-Materiais[[#This Row],[Tributos
(%)]])-Materiais[[#This Row],[Valor Venda c/ Comissões (R$)]]</f>
        <v>0</v>
      </c>
      <c r="S340" s="76">
        <f>Materiais[[#This Row],[Valor Venda c/ Comissões (R$)]]+Materiais[[#This Row],[Tributos
(R$)]]</f>
        <v>0</v>
      </c>
      <c r="T340" s="185"/>
      <c r="U340" s="186">
        <f ca="1">IF(Materiais[[#This Row],[Data Update]] = "",0,IF(_xlfn.DAYS(NOW(),Materiais[[#This Row],[Data Update]])&lt;=0,0,_xlfn.DAYS(NOW(),Materiais[[#This Row],[Data Update]])))</f>
        <v>0</v>
      </c>
    </row>
    <row r="341" spans="1:21" x14ac:dyDescent="0.2">
      <c r="A341" s="46"/>
      <c r="B341" s="46"/>
      <c r="C341" s="46"/>
      <c r="D341" s="46"/>
      <c r="E341" s="46"/>
      <c r="F341" s="138"/>
      <c r="G341" s="129"/>
      <c r="H341" s="180"/>
      <c r="I341" s="5">
        <f>(Materiais[[#This Row],[Qtde.]]*Materiais[[#This Row],[Custo Unitário
Sem Tributos (R$)]])</f>
        <v>0</v>
      </c>
      <c r="J341" s="92">
        <v>0</v>
      </c>
      <c r="K341" s="140">
        <f>Materiais[[#This Row],[Custo Total
Sem Tributos (R$)]]*Materiais[[#This Row],[IPI
(%)]]+Materiais[[#This Row],[Custo Total
Sem Tributos (R$)]]</f>
        <v>0</v>
      </c>
      <c r="L341" s="92">
        <v>0.1</v>
      </c>
      <c r="M341" s="76">
        <f>Materiais[[#This Row],[Custo Total
Com IPI (R$)]]/(1-Materiais[[#This Row],[Margem
(%)]])</f>
        <v>0</v>
      </c>
      <c r="N341" s="16">
        <f>Materiais[[#This Row],[Valor Venda c/ Potencial Desconto  em Material (R$)]]-Materiais[[#This Row],[Custo Total
Com IPI (R$)]]</f>
        <v>0</v>
      </c>
      <c r="O341" s="93">
        <f>Materiais[[#This Row],[Valor Total
Com Margem
Sem Tributos   (R$)]]/(1-('Valores Finais'!$C$10))</f>
        <v>0</v>
      </c>
      <c r="P341" s="93">
        <f>Materiais[[#This Row],[Valor Venda c/ Potencial Desconto  em Material (R$)]]/(1-('Valores Finais'!$B$6))</f>
        <v>0</v>
      </c>
      <c r="Q341" s="84">
        <f>'Valores Finais'!$B$10</f>
        <v>0.12</v>
      </c>
      <c r="R341" s="76">
        <f>Materiais[[#This Row],[Valor Venda c/ Comissões (R$)]]/(1-Materiais[[#This Row],[Tributos
(%)]])-Materiais[[#This Row],[Valor Venda c/ Comissões (R$)]]</f>
        <v>0</v>
      </c>
      <c r="S341" s="76">
        <f>Materiais[[#This Row],[Valor Venda c/ Comissões (R$)]]+Materiais[[#This Row],[Tributos
(R$)]]</f>
        <v>0</v>
      </c>
      <c r="T341" s="185"/>
      <c r="U341" s="186">
        <f ca="1">IF(Materiais[[#This Row],[Data Update]] = "",0,IF(_xlfn.DAYS(NOW(),Materiais[[#This Row],[Data Update]])&lt;=0,0,_xlfn.DAYS(NOW(),Materiais[[#This Row],[Data Update]])))</f>
        <v>0</v>
      </c>
    </row>
    <row r="342" spans="1:21" x14ac:dyDescent="0.2">
      <c r="A342" s="46"/>
      <c r="B342" s="46"/>
      <c r="C342" s="46"/>
      <c r="D342" s="46"/>
      <c r="E342" s="46"/>
      <c r="F342" s="138"/>
      <c r="G342" s="129"/>
      <c r="H342" s="180"/>
      <c r="I342" s="5">
        <f>(Materiais[[#This Row],[Qtde.]]*Materiais[[#This Row],[Custo Unitário
Sem Tributos (R$)]])</f>
        <v>0</v>
      </c>
      <c r="J342" s="92">
        <v>0</v>
      </c>
      <c r="K342" s="140">
        <f>Materiais[[#This Row],[Custo Total
Sem Tributos (R$)]]*Materiais[[#This Row],[IPI
(%)]]+Materiais[[#This Row],[Custo Total
Sem Tributos (R$)]]</f>
        <v>0</v>
      </c>
      <c r="L342" s="92">
        <v>0.1</v>
      </c>
      <c r="M342" s="76">
        <f>Materiais[[#This Row],[Custo Total
Com IPI (R$)]]/(1-Materiais[[#This Row],[Margem
(%)]])</f>
        <v>0</v>
      </c>
      <c r="N342" s="16">
        <f>Materiais[[#This Row],[Valor Venda c/ Potencial Desconto  em Material (R$)]]-Materiais[[#This Row],[Custo Total
Com IPI (R$)]]</f>
        <v>0</v>
      </c>
      <c r="O342" s="93">
        <f>Materiais[[#This Row],[Valor Total
Com Margem
Sem Tributos   (R$)]]/(1-('Valores Finais'!$C$10))</f>
        <v>0</v>
      </c>
      <c r="P342" s="93">
        <f>Materiais[[#This Row],[Valor Venda c/ Potencial Desconto  em Material (R$)]]/(1-('Valores Finais'!$B$6))</f>
        <v>0</v>
      </c>
      <c r="Q342" s="84">
        <f>'Valores Finais'!$B$10</f>
        <v>0.12</v>
      </c>
      <c r="R342" s="76">
        <f>Materiais[[#This Row],[Valor Venda c/ Comissões (R$)]]/(1-Materiais[[#This Row],[Tributos
(%)]])-Materiais[[#This Row],[Valor Venda c/ Comissões (R$)]]</f>
        <v>0</v>
      </c>
      <c r="S342" s="76">
        <f>Materiais[[#This Row],[Valor Venda c/ Comissões (R$)]]+Materiais[[#This Row],[Tributos
(R$)]]</f>
        <v>0</v>
      </c>
      <c r="T342" s="185"/>
      <c r="U342" s="186">
        <f ca="1">IF(Materiais[[#This Row],[Data Update]] = "",0,IF(_xlfn.DAYS(NOW(),Materiais[[#This Row],[Data Update]])&lt;=0,0,_xlfn.DAYS(NOW(),Materiais[[#This Row],[Data Update]])))</f>
        <v>0</v>
      </c>
    </row>
    <row r="343" spans="1:21" x14ac:dyDescent="0.2">
      <c r="A343" s="46"/>
      <c r="B343" s="46"/>
      <c r="C343" s="46"/>
      <c r="D343" s="46"/>
      <c r="E343" s="46"/>
      <c r="F343" s="138"/>
      <c r="G343" s="129"/>
      <c r="H343" s="180"/>
      <c r="I343" s="5">
        <f>(Materiais[[#This Row],[Qtde.]]*Materiais[[#This Row],[Custo Unitário
Sem Tributos (R$)]])</f>
        <v>0</v>
      </c>
      <c r="J343" s="92">
        <v>0</v>
      </c>
      <c r="K343" s="140">
        <f>Materiais[[#This Row],[Custo Total
Sem Tributos (R$)]]*Materiais[[#This Row],[IPI
(%)]]+Materiais[[#This Row],[Custo Total
Sem Tributos (R$)]]</f>
        <v>0</v>
      </c>
      <c r="L343" s="92">
        <v>0.1</v>
      </c>
      <c r="M343" s="76">
        <f>Materiais[[#This Row],[Custo Total
Com IPI (R$)]]/(1-Materiais[[#This Row],[Margem
(%)]])</f>
        <v>0</v>
      </c>
      <c r="N343" s="16">
        <f>Materiais[[#This Row],[Valor Venda c/ Potencial Desconto  em Material (R$)]]-Materiais[[#This Row],[Custo Total
Com IPI (R$)]]</f>
        <v>0</v>
      </c>
      <c r="O343" s="93">
        <f>Materiais[[#This Row],[Valor Total
Com Margem
Sem Tributos   (R$)]]/(1-('Valores Finais'!$C$10))</f>
        <v>0</v>
      </c>
      <c r="P343" s="93">
        <f>Materiais[[#This Row],[Valor Venda c/ Potencial Desconto  em Material (R$)]]/(1-('Valores Finais'!$B$6))</f>
        <v>0</v>
      </c>
      <c r="Q343" s="84">
        <f>'Valores Finais'!$B$10</f>
        <v>0.12</v>
      </c>
      <c r="R343" s="76">
        <f>Materiais[[#This Row],[Valor Venda c/ Comissões (R$)]]/(1-Materiais[[#This Row],[Tributos
(%)]])-Materiais[[#This Row],[Valor Venda c/ Comissões (R$)]]</f>
        <v>0</v>
      </c>
      <c r="S343" s="76">
        <f>Materiais[[#This Row],[Valor Venda c/ Comissões (R$)]]+Materiais[[#This Row],[Tributos
(R$)]]</f>
        <v>0</v>
      </c>
      <c r="T343" s="185"/>
      <c r="U343" s="186">
        <f ca="1">IF(Materiais[[#This Row],[Data Update]] = "",0,IF(_xlfn.DAYS(NOW(),Materiais[[#This Row],[Data Update]])&lt;=0,0,_xlfn.DAYS(NOW(),Materiais[[#This Row],[Data Update]])))</f>
        <v>0</v>
      </c>
    </row>
    <row r="344" spans="1:21" x14ac:dyDescent="0.2">
      <c r="A344" s="46"/>
      <c r="B344" s="46"/>
      <c r="C344" s="46"/>
      <c r="D344" s="46"/>
      <c r="E344" s="46"/>
      <c r="F344" s="138"/>
      <c r="G344" s="129"/>
      <c r="H344" s="180"/>
      <c r="I344" s="5">
        <f>(Materiais[[#This Row],[Qtde.]]*Materiais[[#This Row],[Custo Unitário
Sem Tributos (R$)]])</f>
        <v>0</v>
      </c>
      <c r="J344" s="92">
        <v>0</v>
      </c>
      <c r="K344" s="140">
        <f>Materiais[[#This Row],[Custo Total
Sem Tributos (R$)]]*Materiais[[#This Row],[IPI
(%)]]+Materiais[[#This Row],[Custo Total
Sem Tributos (R$)]]</f>
        <v>0</v>
      </c>
      <c r="L344" s="92">
        <v>0.1</v>
      </c>
      <c r="M344" s="76">
        <f>Materiais[[#This Row],[Custo Total
Com IPI (R$)]]/(1-Materiais[[#This Row],[Margem
(%)]])</f>
        <v>0</v>
      </c>
      <c r="N344" s="16">
        <f>Materiais[[#This Row],[Valor Venda c/ Potencial Desconto  em Material (R$)]]-Materiais[[#This Row],[Custo Total
Com IPI (R$)]]</f>
        <v>0</v>
      </c>
      <c r="O344" s="93">
        <f>Materiais[[#This Row],[Valor Total
Com Margem
Sem Tributos   (R$)]]/(1-('Valores Finais'!$C$10))</f>
        <v>0</v>
      </c>
      <c r="P344" s="93">
        <f>Materiais[[#This Row],[Valor Venda c/ Potencial Desconto  em Material (R$)]]/(1-('Valores Finais'!$B$6))</f>
        <v>0</v>
      </c>
      <c r="Q344" s="84">
        <f>'Valores Finais'!$B$10</f>
        <v>0.12</v>
      </c>
      <c r="R344" s="76">
        <f>Materiais[[#This Row],[Valor Venda c/ Comissões (R$)]]/(1-Materiais[[#This Row],[Tributos
(%)]])-Materiais[[#This Row],[Valor Venda c/ Comissões (R$)]]</f>
        <v>0</v>
      </c>
      <c r="S344" s="76">
        <f>Materiais[[#This Row],[Valor Venda c/ Comissões (R$)]]+Materiais[[#This Row],[Tributos
(R$)]]</f>
        <v>0</v>
      </c>
      <c r="T344" s="185"/>
      <c r="U344" s="186">
        <f ca="1">IF(Materiais[[#This Row],[Data Update]] = "",0,IF(_xlfn.DAYS(NOW(),Materiais[[#This Row],[Data Update]])&lt;=0,0,_xlfn.DAYS(NOW(),Materiais[[#This Row],[Data Update]])))</f>
        <v>0</v>
      </c>
    </row>
    <row r="345" spans="1:21" x14ac:dyDescent="0.2">
      <c r="A345" s="46"/>
      <c r="B345" s="46"/>
      <c r="C345" s="46"/>
      <c r="D345" s="46"/>
      <c r="E345" s="46"/>
      <c r="F345" s="138"/>
      <c r="G345" s="129"/>
      <c r="H345" s="180"/>
      <c r="I345" s="5">
        <f>(Materiais[[#This Row],[Qtde.]]*Materiais[[#This Row],[Custo Unitário
Sem Tributos (R$)]])</f>
        <v>0</v>
      </c>
      <c r="J345" s="92">
        <v>0</v>
      </c>
      <c r="K345" s="140">
        <f>Materiais[[#This Row],[Custo Total
Sem Tributos (R$)]]*Materiais[[#This Row],[IPI
(%)]]+Materiais[[#This Row],[Custo Total
Sem Tributos (R$)]]</f>
        <v>0</v>
      </c>
      <c r="L345" s="92">
        <v>0.1</v>
      </c>
      <c r="M345" s="76">
        <f>Materiais[[#This Row],[Custo Total
Com IPI (R$)]]/(1-Materiais[[#This Row],[Margem
(%)]])</f>
        <v>0</v>
      </c>
      <c r="N345" s="16">
        <f>Materiais[[#This Row],[Valor Venda c/ Potencial Desconto  em Material (R$)]]-Materiais[[#This Row],[Custo Total
Com IPI (R$)]]</f>
        <v>0</v>
      </c>
      <c r="O345" s="93">
        <f>Materiais[[#This Row],[Valor Total
Com Margem
Sem Tributos   (R$)]]/(1-('Valores Finais'!$C$10))</f>
        <v>0</v>
      </c>
      <c r="P345" s="93">
        <f>Materiais[[#This Row],[Valor Venda c/ Potencial Desconto  em Material (R$)]]/(1-('Valores Finais'!$B$6))</f>
        <v>0</v>
      </c>
      <c r="Q345" s="84">
        <f>'Valores Finais'!$B$10</f>
        <v>0.12</v>
      </c>
      <c r="R345" s="76">
        <f>Materiais[[#This Row],[Valor Venda c/ Comissões (R$)]]/(1-Materiais[[#This Row],[Tributos
(%)]])-Materiais[[#This Row],[Valor Venda c/ Comissões (R$)]]</f>
        <v>0</v>
      </c>
      <c r="S345" s="76">
        <f>Materiais[[#This Row],[Valor Venda c/ Comissões (R$)]]+Materiais[[#This Row],[Tributos
(R$)]]</f>
        <v>0</v>
      </c>
      <c r="T345" s="185"/>
      <c r="U345" s="186">
        <f ca="1">IF(Materiais[[#This Row],[Data Update]] = "",0,IF(_xlfn.DAYS(NOW(),Materiais[[#This Row],[Data Update]])&lt;=0,0,_xlfn.DAYS(NOW(),Materiais[[#This Row],[Data Update]])))</f>
        <v>0</v>
      </c>
    </row>
    <row r="346" spans="1:21" x14ac:dyDescent="0.2">
      <c r="A346" s="46"/>
      <c r="B346" s="46"/>
      <c r="C346" s="46"/>
      <c r="D346" s="46"/>
      <c r="E346" s="46"/>
      <c r="F346" s="138"/>
      <c r="G346" s="129"/>
      <c r="H346" s="180"/>
      <c r="I346" s="5">
        <f>(Materiais[[#This Row],[Qtde.]]*Materiais[[#This Row],[Custo Unitário
Sem Tributos (R$)]])</f>
        <v>0</v>
      </c>
      <c r="J346" s="92">
        <v>0</v>
      </c>
      <c r="K346" s="140">
        <f>Materiais[[#This Row],[Custo Total
Sem Tributos (R$)]]*Materiais[[#This Row],[IPI
(%)]]+Materiais[[#This Row],[Custo Total
Sem Tributos (R$)]]</f>
        <v>0</v>
      </c>
      <c r="L346" s="92">
        <v>0.1</v>
      </c>
      <c r="M346" s="76">
        <f>Materiais[[#This Row],[Custo Total
Com IPI (R$)]]/(1-Materiais[[#This Row],[Margem
(%)]])</f>
        <v>0</v>
      </c>
      <c r="N346" s="16">
        <f>Materiais[[#This Row],[Valor Venda c/ Potencial Desconto  em Material (R$)]]-Materiais[[#This Row],[Custo Total
Com IPI (R$)]]</f>
        <v>0</v>
      </c>
      <c r="O346" s="93">
        <f>Materiais[[#This Row],[Valor Total
Com Margem
Sem Tributos   (R$)]]/(1-('Valores Finais'!$C$10))</f>
        <v>0</v>
      </c>
      <c r="P346" s="93">
        <f>Materiais[[#This Row],[Valor Venda c/ Potencial Desconto  em Material (R$)]]/(1-('Valores Finais'!$B$6))</f>
        <v>0</v>
      </c>
      <c r="Q346" s="84">
        <f>'Valores Finais'!$B$10</f>
        <v>0.12</v>
      </c>
      <c r="R346" s="76">
        <f>Materiais[[#This Row],[Valor Venda c/ Comissões (R$)]]/(1-Materiais[[#This Row],[Tributos
(%)]])-Materiais[[#This Row],[Valor Venda c/ Comissões (R$)]]</f>
        <v>0</v>
      </c>
      <c r="S346" s="76">
        <f>Materiais[[#This Row],[Valor Venda c/ Comissões (R$)]]+Materiais[[#This Row],[Tributos
(R$)]]</f>
        <v>0</v>
      </c>
      <c r="T346" s="185"/>
      <c r="U346" s="186">
        <f ca="1">IF(Materiais[[#This Row],[Data Update]] = "",0,IF(_xlfn.DAYS(NOW(),Materiais[[#This Row],[Data Update]])&lt;=0,0,_xlfn.DAYS(NOW(),Materiais[[#This Row],[Data Update]])))</f>
        <v>0</v>
      </c>
    </row>
    <row r="347" spans="1:21" x14ac:dyDescent="0.2">
      <c r="A347" s="46"/>
      <c r="B347" s="46"/>
      <c r="C347" s="46"/>
      <c r="D347" s="46"/>
      <c r="E347" s="46"/>
      <c r="F347" s="138"/>
      <c r="G347" s="129"/>
      <c r="H347" s="180"/>
      <c r="I347" s="5">
        <f>(Materiais[[#This Row],[Qtde.]]*Materiais[[#This Row],[Custo Unitário
Sem Tributos (R$)]])</f>
        <v>0</v>
      </c>
      <c r="J347" s="92">
        <v>0</v>
      </c>
      <c r="K347" s="140">
        <f>Materiais[[#This Row],[Custo Total
Sem Tributos (R$)]]*Materiais[[#This Row],[IPI
(%)]]+Materiais[[#This Row],[Custo Total
Sem Tributos (R$)]]</f>
        <v>0</v>
      </c>
      <c r="L347" s="92">
        <v>0.1</v>
      </c>
      <c r="M347" s="76">
        <f>Materiais[[#This Row],[Custo Total
Com IPI (R$)]]/(1-Materiais[[#This Row],[Margem
(%)]])</f>
        <v>0</v>
      </c>
      <c r="N347" s="16">
        <f>Materiais[[#This Row],[Valor Venda c/ Potencial Desconto  em Material (R$)]]-Materiais[[#This Row],[Custo Total
Com IPI (R$)]]</f>
        <v>0</v>
      </c>
      <c r="O347" s="93">
        <f>Materiais[[#This Row],[Valor Total
Com Margem
Sem Tributos   (R$)]]/(1-('Valores Finais'!$C$10))</f>
        <v>0</v>
      </c>
      <c r="P347" s="93">
        <f>Materiais[[#This Row],[Valor Venda c/ Potencial Desconto  em Material (R$)]]/(1-('Valores Finais'!$B$6))</f>
        <v>0</v>
      </c>
      <c r="Q347" s="84">
        <f>'Valores Finais'!$B$10</f>
        <v>0.12</v>
      </c>
      <c r="R347" s="76">
        <f>Materiais[[#This Row],[Valor Venda c/ Comissões (R$)]]/(1-Materiais[[#This Row],[Tributos
(%)]])-Materiais[[#This Row],[Valor Venda c/ Comissões (R$)]]</f>
        <v>0</v>
      </c>
      <c r="S347" s="76">
        <f>Materiais[[#This Row],[Valor Venda c/ Comissões (R$)]]+Materiais[[#This Row],[Tributos
(R$)]]</f>
        <v>0</v>
      </c>
      <c r="T347" s="185"/>
      <c r="U347" s="186">
        <f ca="1">IF(Materiais[[#This Row],[Data Update]] = "",0,IF(_xlfn.DAYS(NOW(),Materiais[[#This Row],[Data Update]])&lt;=0,0,_xlfn.DAYS(NOW(),Materiais[[#This Row],[Data Update]])))</f>
        <v>0</v>
      </c>
    </row>
    <row r="348" spans="1:21" x14ac:dyDescent="0.2">
      <c r="A348" s="46"/>
      <c r="B348" s="46"/>
      <c r="C348" s="46"/>
      <c r="D348" s="46"/>
      <c r="E348" s="46"/>
      <c r="F348" s="138"/>
      <c r="G348" s="129"/>
      <c r="H348" s="180"/>
      <c r="I348" s="5">
        <f>(Materiais[[#This Row],[Qtde.]]*Materiais[[#This Row],[Custo Unitário
Sem Tributos (R$)]])</f>
        <v>0</v>
      </c>
      <c r="J348" s="92">
        <v>0</v>
      </c>
      <c r="K348" s="140">
        <f>Materiais[[#This Row],[Custo Total
Sem Tributos (R$)]]*Materiais[[#This Row],[IPI
(%)]]+Materiais[[#This Row],[Custo Total
Sem Tributos (R$)]]</f>
        <v>0</v>
      </c>
      <c r="L348" s="92">
        <v>0.1</v>
      </c>
      <c r="M348" s="76">
        <f>Materiais[[#This Row],[Custo Total
Com IPI (R$)]]/(1-Materiais[[#This Row],[Margem
(%)]])</f>
        <v>0</v>
      </c>
      <c r="N348" s="16">
        <f>Materiais[[#This Row],[Valor Venda c/ Potencial Desconto  em Material (R$)]]-Materiais[[#This Row],[Custo Total
Com IPI (R$)]]</f>
        <v>0</v>
      </c>
      <c r="O348" s="93">
        <f>Materiais[[#This Row],[Valor Total
Com Margem
Sem Tributos   (R$)]]/(1-('Valores Finais'!$C$10))</f>
        <v>0</v>
      </c>
      <c r="P348" s="93">
        <f>Materiais[[#This Row],[Valor Venda c/ Potencial Desconto  em Material (R$)]]/(1-('Valores Finais'!$B$6))</f>
        <v>0</v>
      </c>
      <c r="Q348" s="84">
        <f>'Valores Finais'!$B$10</f>
        <v>0.12</v>
      </c>
      <c r="R348" s="76">
        <f>Materiais[[#This Row],[Valor Venda c/ Comissões (R$)]]/(1-Materiais[[#This Row],[Tributos
(%)]])-Materiais[[#This Row],[Valor Venda c/ Comissões (R$)]]</f>
        <v>0</v>
      </c>
      <c r="S348" s="76">
        <f>Materiais[[#This Row],[Valor Venda c/ Comissões (R$)]]+Materiais[[#This Row],[Tributos
(R$)]]</f>
        <v>0</v>
      </c>
      <c r="T348" s="185"/>
      <c r="U348" s="186">
        <f ca="1">IF(Materiais[[#This Row],[Data Update]] = "",0,IF(_xlfn.DAYS(NOW(),Materiais[[#This Row],[Data Update]])&lt;=0,0,_xlfn.DAYS(NOW(),Materiais[[#This Row],[Data Update]])))</f>
        <v>0</v>
      </c>
    </row>
    <row r="349" spans="1:21" x14ac:dyDescent="0.2">
      <c r="A349" s="46"/>
      <c r="B349" s="46"/>
      <c r="C349" s="46"/>
      <c r="D349" s="46"/>
      <c r="E349" s="46"/>
      <c r="F349" s="138"/>
      <c r="G349" s="129"/>
      <c r="H349" s="180"/>
      <c r="I349" s="5">
        <f>(Materiais[[#This Row],[Qtde.]]*Materiais[[#This Row],[Custo Unitário
Sem Tributos (R$)]])</f>
        <v>0</v>
      </c>
      <c r="J349" s="92">
        <v>0</v>
      </c>
      <c r="K349" s="140">
        <f>Materiais[[#This Row],[Custo Total
Sem Tributos (R$)]]*Materiais[[#This Row],[IPI
(%)]]+Materiais[[#This Row],[Custo Total
Sem Tributos (R$)]]</f>
        <v>0</v>
      </c>
      <c r="L349" s="92">
        <v>0.1</v>
      </c>
      <c r="M349" s="76">
        <f>Materiais[[#This Row],[Custo Total
Com IPI (R$)]]/(1-Materiais[[#This Row],[Margem
(%)]])</f>
        <v>0</v>
      </c>
      <c r="N349" s="16">
        <f>Materiais[[#This Row],[Valor Venda c/ Potencial Desconto  em Material (R$)]]-Materiais[[#This Row],[Custo Total
Com IPI (R$)]]</f>
        <v>0</v>
      </c>
      <c r="O349" s="93">
        <f>Materiais[[#This Row],[Valor Total
Com Margem
Sem Tributos   (R$)]]/(1-('Valores Finais'!$C$10))</f>
        <v>0</v>
      </c>
      <c r="P349" s="93">
        <f>Materiais[[#This Row],[Valor Venda c/ Potencial Desconto  em Material (R$)]]/(1-('Valores Finais'!$B$6))</f>
        <v>0</v>
      </c>
      <c r="Q349" s="84">
        <f>'Valores Finais'!$B$10</f>
        <v>0.12</v>
      </c>
      <c r="R349" s="76">
        <f>Materiais[[#This Row],[Valor Venda c/ Comissões (R$)]]/(1-Materiais[[#This Row],[Tributos
(%)]])-Materiais[[#This Row],[Valor Venda c/ Comissões (R$)]]</f>
        <v>0</v>
      </c>
      <c r="S349" s="76">
        <f>Materiais[[#This Row],[Valor Venda c/ Comissões (R$)]]+Materiais[[#This Row],[Tributos
(R$)]]</f>
        <v>0</v>
      </c>
      <c r="T349" s="185"/>
      <c r="U349" s="186">
        <f ca="1">IF(Materiais[[#This Row],[Data Update]] = "",0,IF(_xlfn.DAYS(NOW(),Materiais[[#This Row],[Data Update]])&lt;=0,0,_xlfn.DAYS(NOW(),Materiais[[#This Row],[Data Update]])))</f>
        <v>0</v>
      </c>
    </row>
    <row r="350" spans="1:21" x14ac:dyDescent="0.2">
      <c r="A350" s="46"/>
      <c r="B350" s="46"/>
      <c r="C350" s="46"/>
      <c r="D350" s="46"/>
      <c r="E350" s="46"/>
      <c r="F350" s="138"/>
      <c r="G350" s="129"/>
      <c r="H350" s="180"/>
      <c r="I350" s="5">
        <f>(Materiais[[#This Row],[Qtde.]]*Materiais[[#This Row],[Custo Unitário
Sem Tributos (R$)]])</f>
        <v>0</v>
      </c>
      <c r="J350" s="92">
        <v>0</v>
      </c>
      <c r="K350" s="140">
        <f>Materiais[[#This Row],[Custo Total
Sem Tributos (R$)]]*Materiais[[#This Row],[IPI
(%)]]+Materiais[[#This Row],[Custo Total
Sem Tributos (R$)]]</f>
        <v>0</v>
      </c>
      <c r="L350" s="92">
        <v>0.1</v>
      </c>
      <c r="M350" s="76">
        <f>Materiais[[#This Row],[Custo Total
Com IPI (R$)]]/(1-Materiais[[#This Row],[Margem
(%)]])</f>
        <v>0</v>
      </c>
      <c r="N350" s="16">
        <f>Materiais[[#This Row],[Valor Venda c/ Potencial Desconto  em Material (R$)]]-Materiais[[#This Row],[Custo Total
Com IPI (R$)]]</f>
        <v>0</v>
      </c>
      <c r="O350" s="93">
        <f>Materiais[[#This Row],[Valor Total
Com Margem
Sem Tributos   (R$)]]/(1-('Valores Finais'!$C$10))</f>
        <v>0</v>
      </c>
      <c r="P350" s="93">
        <f>Materiais[[#This Row],[Valor Venda c/ Potencial Desconto  em Material (R$)]]/(1-('Valores Finais'!$B$6))</f>
        <v>0</v>
      </c>
      <c r="Q350" s="84">
        <f>'Valores Finais'!$B$10</f>
        <v>0.12</v>
      </c>
      <c r="R350" s="76">
        <f>Materiais[[#This Row],[Valor Venda c/ Comissões (R$)]]/(1-Materiais[[#This Row],[Tributos
(%)]])-Materiais[[#This Row],[Valor Venda c/ Comissões (R$)]]</f>
        <v>0</v>
      </c>
      <c r="S350" s="76">
        <f>Materiais[[#This Row],[Valor Venda c/ Comissões (R$)]]+Materiais[[#This Row],[Tributos
(R$)]]</f>
        <v>0</v>
      </c>
      <c r="T350" s="185"/>
      <c r="U350" s="186">
        <f ca="1">IF(Materiais[[#This Row],[Data Update]] = "",0,IF(_xlfn.DAYS(NOW(),Materiais[[#This Row],[Data Update]])&lt;=0,0,_xlfn.DAYS(NOW(),Materiais[[#This Row],[Data Update]])))</f>
        <v>0</v>
      </c>
    </row>
    <row r="351" spans="1:21" x14ac:dyDescent="0.2">
      <c r="A351" s="46"/>
      <c r="B351" s="46"/>
      <c r="C351" s="46"/>
      <c r="D351" s="46"/>
      <c r="E351" s="46"/>
      <c r="F351" s="138"/>
      <c r="G351" s="129"/>
      <c r="H351" s="180"/>
      <c r="I351" s="5">
        <f>(Materiais[[#This Row],[Qtde.]]*Materiais[[#This Row],[Custo Unitário
Sem Tributos (R$)]])</f>
        <v>0</v>
      </c>
      <c r="J351" s="92">
        <v>0</v>
      </c>
      <c r="K351" s="140">
        <f>Materiais[[#This Row],[Custo Total
Sem Tributos (R$)]]*Materiais[[#This Row],[IPI
(%)]]+Materiais[[#This Row],[Custo Total
Sem Tributos (R$)]]</f>
        <v>0</v>
      </c>
      <c r="L351" s="92">
        <v>0.1</v>
      </c>
      <c r="M351" s="76">
        <f>Materiais[[#This Row],[Custo Total
Com IPI (R$)]]/(1-Materiais[[#This Row],[Margem
(%)]])</f>
        <v>0</v>
      </c>
      <c r="N351" s="16">
        <f>Materiais[[#This Row],[Valor Venda c/ Potencial Desconto  em Material (R$)]]-Materiais[[#This Row],[Custo Total
Com IPI (R$)]]</f>
        <v>0</v>
      </c>
      <c r="O351" s="93">
        <f>Materiais[[#This Row],[Valor Total
Com Margem
Sem Tributos   (R$)]]/(1-('Valores Finais'!$C$10))</f>
        <v>0</v>
      </c>
      <c r="P351" s="93">
        <f>Materiais[[#This Row],[Valor Venda c/ Potencial Desconto  em Material (R$)]]/(1-('Valores Finais'!$B$6))</f>
        <v>0</v>
      </c>
      <c r="Q351" s="84">
        <f>'Valores Finais'!$B$10</f>
        <v>0.12</v>
      </c>
      <c r="R351" s="76">
        <f>Materiais[[#This Row],[Valor Venda c/ Comissões (R$)]]/(1-Materiais[[#This Row],[Tributos
(%)]])-Materiais[[#This Row],[Valor Venda c/ Comissões (R$)]]</f>
        <v>0</v>
      </c>
      <c r="S351" s="76">
        <f>Materiais[[#This Row],[Valor Venda c/ Comissões (R$)]]+Materiais[[#This Row],[Tributos
(R$)]]</f>
        <v>0</v>
      </c>
      <c r="T351" s="185"/>
      <c r="U351" s="186">
        <f ca="1">IF(Materiais[[#This Row],[Data Update]] = "",0,IF(_xlfn.DAYS(NOW(),Materiais[[#This Row],[Data Update]])&lt;=0,0,_xlfn.DAYS(NOW(),Materiais[[#This Row],[Data Update]])))</f>
        <v>0</v>
      </c>
    </row>
    <row r="352" spans="1:21" x14ac:dyDescent="0.2">
      <c r="A352" s="46"/>
      <c r="B352" s="46"/>
      <c r="C352" s="46"/>
      <c r="D352" s="46"/>
      <c r="E352" s="46"/>
      <c r="F352" s="138"/>
      <c r="G352" s="129"/>
      <c r="H352" s="180"/>
      <c r="I352" s="5">
        <f>(Materiais[[#This Row],[Qtde.]]*Materiais[[#This Row],[Custo Unitário
Sem Tributos (R$)]])</f>
        <v>0</v>
      </c>
      <c r="J352" s="92">
        <v>0</v>
      </c>
      <c r="K352" s="140">
        <f>Materiais[[#This Row],[Custo Total
Sem Tributos (R$)]]*Materiais[[#This Row],[IPI
(%)]]+Materiais[[#This Row],[Custo Total
Sem Tributos (R$)]]</f>
        <v>0</v>
      </c>
      <c r="L352" s="92">
        <v>0.1</v>
      </c>
      <c r="M352" s="76">
        <f>Materiais[[#This Row],[Custo Total
Com IPI (R$)]]/(1-Materiais[[#This Row],[Margem
(%)]])</f>
        <v>0</v>
      </c>
      <c r="N352" s="16">
        <f>Materiais[[#This Row],[Valor Venda c/ Potencial Desconto  em Material (R$)]]-Materiais[[#This Row],[Custo Total
Com IPI (R$)]]</f>
        <v>0</v>
      </c>
      <c r="O352" s="93">
        <f>Materiais[[#This Row],[Valor Total
Com Margem
Sem Tributos   (R$)]]/(1-('Valores Finais'!$C$10))</f>
        <v>0</v>
      </c>
      <c r="P352" s="93">
        <f>Materiais[[#This Row],[Valor Venda c/ Potencial Desconto  em Material (R$)]]/(1-('Valores Finais'!$B$6))</f>
        <v>0</v>
      </c>
      <c r="Q352" s="84">
        <f>'Valores Finais'!$B$10</f>
        <v>0.12</v>
      </c>
      <c r="R352" s="76">
        <f>Materiais[[#This Row],[Valor Venda c/ Comissões (R$)]]/(1-Materiais[[#This Row],[Tributos
(%)]])-Materiais[[#This Row],[Valor Venda c/ Comissões (R$)]]</f>
        <v>0</v>
      </c>
      <c r="S352" s="76">
        <f>Materiais[[#This Row],[Valor Venda c/ Comissões (R$)]]+Materiais[[#This Row],[Tributos
(R$)]]</f>
        <v>0</v>
      </c>
      <c r="T352" s="185"/>
      <c r="U352" s="186">
        <f ca="1">IF(Materiais[[#This Row],[Data Update]] = "",0,IF(_xlfn.DAYS(NOW(),Materiais[[#This Row],[Data Update]])&lt;=0,0,_xlfn.DAYS(NOW(),Materiais[[#This Row],[Data Update]])))</f>
        <v>0</v>
      </c>
    </row>
    <row r="353" spans="1:21" x14ac:dyDescent="0.2">
      <c r="A353" s="46"/>
      <c r="B353" s="46"/>
      <c r="C353" s="46"/>
      <c r="D353" s="46"/>
      <c r="E353" s="46"/>
      <c r="F353" s="138"/>
      <c r="G353" s="129"/>
      <c r="H353" s="180"/>
      <c r="I353" s="5">
        <f>(Materiais[[#This Row],[Qtde.]]*Materiais[[#This Row],[Custo Unitário
Sem Tributos (R$)]])</f>
        <v>0</v>
      </c>
      <c r="J353" s="92">
        <v>0</v>
      </c>
      <c r="K353" s="140">
        <f>Materiais[[#This Row],[Custo Total
Sem Tributos (R$)]]*Materiais[[#This Row],[IPI
(%)]]+Materiais[[#This Row],[Custo Total
Sem Tributos (R$)]]</f>
        <v>0</v>
      </c>
      <c r="L353" s="92">
        <v>0.1</v>
      </c>
      <c r="M353" s="76">
        <f>Materiais[[#This Row],[Custo Total
Com IPI (R$)]]/(1-Materiais[[#This Row],[Margem
(%)]])</f>
        <v>0</v>
      </c>
      <c r="N353" s="16">
        <f>Materiais[[#This Row],[Valor Venda c/ Potencial Desconto  em Material (R$)]]-Materiais[[#This Row],[Custo Total
Com IPI (R$)]]</f>
        <v>0</v>
      </c>
      <c r="O353" s="93">
        <f>Materiais[[#This Row],[Valor Total
Com Margem
Sem Tributos   (R$)]]/(1-('Valores Finais'!$C$10))</f>
        <v>0</v>
      </c>
      <c r="P353" s="93">
        <f>Materiais[[#This Row],[Valor Venda c/ Potencial Desconto  em Material (R$)]]/(1-('Valores Finais'!$B$6))</f>
        <v>0</v>
      </c>
      <c r="Q353" s="84">
        <f>'Valores Finais'!$B$10</f>
        <v>0.12</v>
      </c>
      <c r="R353" s="76">
        <f>Materiais[[#This Row],[Valor Venda c/ Comissões (R$)]]/(1-Materiais[[#This Row],[Tributos
(%)]])-Materiais[[#This Row],[Valor Venda c/ Comissões (R$)]]</f>
        <v>0</v>
      </c>
      <c r="S353" s="76">
        <f>Materiais[[#This Row],[Valor Venda c/ Comissões (R$)]]+Materiais[[#This Row],[Tributos
(R$)]]</f>
        <v>0</v>
      </c>
      <c r="T353" s="185"/>
      <c r="U353" s="186">
        <f ca="1">IF(Materiais[[#This Row],[Data Update]] = "",0,IF(_xlfn.DAYS(NOW(),Materiais[[#This Row],[Data Update]])&lt;=0,0,_xlfn.DAYS(NOW(),Materiais[[#This Row],[Data Update]])))</f>
        <v>0</v>
      </c>
    </row>
    <row r="354" spans="1:21" x14ac:dyDescent="0.2">
      <c r="A354" s="46"/>
      <c r="B354" s="46"/>
      <c r="C354" s="46"/>
      <c r="D354" s="46"/>
      <c r="E354" s="46"/>
      <c r="F354" s="138"/>
      <c r="G354" s="129"/>
      <c r="H354" s="180"/>
      <c r="I354" s="5">
        <f>(Materiais[[#This Row],[Qtde.]]*Materiais[[#This Row],[Custo Unitário
Sem Tributos (R$)]])</f>
        <v>0</v>
      </c>
      <c r="J354" s="92">
        <v>0</v>
      </c>
      <c r="K354" s="140">
        <f>Materiais[[#This Row],[Custo Total
Sem Tributos (R$)]]*Materiais[[#This Row],[IPI
(%)]]+Materiais[[#This Row],[Custo Total
Sem Tributos (R$)]]</f>
        <v>0</v>
      </c>
      <c r="L354" s="92">
        <v>0.1</v>
      </c>
      <c r="M354" s="76">
        <f>Materiais[[#This Row],[Custo Total
Com IPI (R$)]]/(1-Materiais[[#This Row],[Margem
(%)]])</f>
        <v>0</v>
      </c>
      <c r="N354" s="16">
        <f>Materiais[[#This Row],[Valor Venda c/ Potencial Desconto  em Material (R$)]]-Materiais[[#This Row],[Custo Total
Com IPI (R$)]]</f>
        <v>0</v>
      </c>
      <c r="O354" s="93">
        <f>Materiais[[#This Row],[Valor Total
Com Margem
Sem Tributos   (R$)]]/(1-('Valores Finais'!$C$10))</f>
        <v>0</v>
      </c>
      <c r="P354" s="93">
        <f>Materiais[[#This Row],[Valor Venda c/ Potencial Desconto  em Material (R$)]]/(1-('Valores Finais'!$B$6))</f>
        <v>0</v>
      </c>
      <c r="Q354" s="84">
        <f>'Valores Finais'!$B$10</f>
        <v>0.12</v>
      </c>
      <c r="R354" s="76">
        <f>Materiais[[#This Row],[Valor Venda c/ Comissões (R$)]]/(1-Materiais[[#This Row],[Tributos
(%)]])-Materiais[[#This Row],[Valor Venda c/ Comissões (R$)]]</f>
        <v>0</v>
      </c>
      <c r="S354" s="76">
        <f>Materiais[[#This Row],[Valor Venda c/ Comissões (R$)]]+Materiais[[#This Row],[Tributos
(R$)]]</f>
        <v>0</v>
      </c>
      <c r="T354" s="185"/>
      <c r="U354" s="186">
        <f ca="1">IF(Materiais[[#This Row],[Data Update]] = "",0,IF(_xlfn.DAYS(NOW(),Materiais[[#This Row],[Data Update]])&lt;=0,0,_xlfn.DAYS(NOW(),Materiais[[#This Row],[Data Update]])))</f>
        <v>0</v>
      </c>
    </row>
    <row r="355" spans="1:21" x14ac:dyDescent="0.2">
      <c r="A355" s="46"/>
      <c r="B355" s="46"/>
      <c r="C355" s="46"/>
      <c r="D355" s="46"/>
      <c r="E355" s="46"/>
      <c r="F355" s="138"/>
      <c r="G355" s="129"/>
      <c r="H355" s="180"/>
      <c r="I355" s="5">
        <f>(Materiais[[#This Row],[Qtde.]]*Materiais[[#This Row],[Custo Unitário
Sem Tributos (R$)]])</f>
        <v>0</v>
      </c>
      <c r="J355" s="92">
        <v>0</v>
      </c>
      <c r="K355" s="140">
        <f>Materiais[[#This Row],[Custo Total
Sem Tributos (R$)]]*Materiais[[#This Row],[IPI
(%)]]+Materiais[[#This Row],[Custo Total
Sem Tributos (R$)]]</f>
        <v>0</v>
      </c>
      <c r="L355" s="92">
        <v>0.1</v>
      </c>
      <c r="M355" s="76">
        <f>Materiais[[#This Row],[Custo Total
Com IPI (R$)]]/(1-Materiais[[#This Row],[Margem
(%)]])</f>
        <v>0</v>
      </c>
      <c r="N355" s="16">
        <f>Materiais[[#This Row],[Valor Venda c/ Potencial Desconto  em Material (R$)]]-Materiais[[#This Row],[Custo Total
Com IPI (R$)]]</f>
        <v>0</v>
      </c>
      <c r="O355" s="93">
        <f>Materiais[[#This Row],[Valor Total
Com Margem
Sem Tributos   (R$)]]/(1-('Valores Finais'!$C$10))</f>
        <v>0</v>
      </c>
      <c r="P355" s="93">
        <f>Materiais[[#This Row],[Valor Venda c/ Potencial Desconto  em Material (R$)]]/(1-('Valores Finais'!$B$6))</f>
        <v>0</v>
      </c>
      <c r="Q355" s="84">
        <f>'Valores Finais'!$B$10</f>
        <v>0.12</v>
      </c>
      <c r="R355" s="76">
        <f>Materiais[[#This Row],[Valor Venda c/ Comissões (R$)]]/(1-Materiais[[#This Row],[Tributos
(%)]])-Materiais[[#This Row],[Valor Venda c/ Comissões (R$)]]</f>
        <v>0</v>
      </c>
      <c r="S355" s="76">
        <f>Materiais[[#This Row],[Valor Venda c/ Comissões (R$)]]+Materiais[[#This Row],[Tributos
(R$)]]</f>
        <v>0</v>
      </c>
      <c r="T355" s="185"/>
      <c r="U355" s="186">
        <f ca="1">IF(Materiais[[#This Row],[Data Update]] = "",0,IF(_xlfn.DAYS(NOW(),Materiais[[#This Row],[Data Update]])&lt;=0,0,_xlfn.DAYS(NOW(),Materiais[[#This Row],[Data Update]])))</f>
        <v>0</v>
      </c>
    </row>
    <row r="356" spans="1:21" x14ac:dyDescent="0.2">
      <c r="A356" s="46"/>
      <c r="B356" s="46"/>
      <c r="C356" s="46"/>
      <c r="D356" s="46"/>
      <c r="E356" s="46"/>
      <c r="F356" s="138"/>
      <c r="G356" s="129"/>
      <c r="H356" s="180"/>
      <c r="I356" s="5">
        <f>(Materiais[[#This Row],[Qtde.]]*Materiais[[#This Row],[Custo Unitário
Sem Tributos (R$)]])</f>
        <v>0</v>
      </c>
      <c r="J356" s="92">
        <v>0</v>
      </c>
      <c r="K356" s="140">
        <f>Materiais[[#This Row],[Custo Total
Sem Tributos (R$)]]*Materiais[[#This Row],[IPI
(%)]]+Materiais[[#This Row],[Custo Total
Sem Tributos (R$)]]</f>
        <v>0</v>
      </c>
      <c r="L356" s="92">
        <v>0.1</v>
      </c>
      <c r="M356" s="76">
        <f>Materiais[[#This Row],[Custo Total
Com IPI (R$)]]/(1-Materiais[[#This Row],[Margem
(%)]])</f>
        <v>0</v>
      </c>
      <c r="N356" s="16">
        <f>Materiais[[#This Row],[Valor Venda c/ Potencial Desconto  em Material (R$)]]-Materiais[[#This Row],[Custo Total
Com IPI (R$)]]</f>
        <v>0</v>
      </c>
      <c r="O356" s="93">
        <f>Materiais[[#This Row],[Valor Total
Com Margem
Sem Tributos   (R$)]]/(1-('Valores Finais'!$C$10))</f>
        <v>0</v>
      </c>
      <c r="P356" s="93">
        <f>Materiais[[#This Row],[Valor Venda c/ Potencial Desconto  em Material (R$)]]/(1-('Valores Finais'!$B$6))</f>
        <v>0</v>
      </c>
      <c r="Q356" s="84">
        <f>'Valores Finais'!$B$10</f>
        <v>0.12</v>
      </c>
      <c r="R356" s="76">
        <f>Materiais[[#This Row],[Valor Venda c/ Comissões (R$)]]/(1-Materiais[[#This Row],[Tributos
(%)]])-Materiais[[#This Row],[Valor Venda c/ Comissões (R$)]]</f>
        <v>0</v>
      </c>
      <c r="S356" s="76">
        <f>Materiais[[#This Row],[Valor Venda c/ Comissões (R$)]]+Materiais[[#This Row],[Tributos
(R$)]]</f>
        <v>0</v>
      </c>
      <c r="T356" s="185"/>
      <c r="U356" s="186">
        <f ca="1">IF(Materiais[[#This Row],[Data Update]] = "",0,IF(_xlfn.DAYS(NOW(),Materiais[[#This Row],[Data Update]])&lt;=0,0,_xlfn.DAYS(NOW(),Materiais[[#This Row],[Data Update]])))</f>
        <v>0</v>
      </c>
    </row>
    <row r="357" spans="1:21" x14ac:dyDescent="0.2">
      <c r="A357" s="46"/>
      <c r="B357" s="46"/>
      <c r="C357" s="46"/>
      <c r="D357" s="46"/>
      <c r="E357" s="46"/>
      <c r="F357" s="138"/>
      <c r="G357" s="129"/>
      <c r="H357" s="180"/>
      <c r="I357" s="5">
        <f>(Materiais[[#This Row],[Qtde.]]*Materiais[[#This Row],[Custo Unitário
Sem Tributos (R$)]])</f>
        <v>0</v>
      </c>
      <c r="J357" s="92">
        <v>0</v>
      </c>
      <c r="K357" s="140">
        <f>Materiais[[#This Row],[Custo Total
Sem Tributos (R$)]]*Materiais[[#This Row],[IPI
(%)]]+Materiais[[#This Row],[Custo Total
Sem Tributos (R$)]]</f>
        <v>0</v>
      </c>
      <c r="L357" s="92">
        <v>0.1</v>
      </c>
      <c r="M357" s="76">
        <f>Materiais[[#This Row],[Custo Total
Com IPI (R$)]]/(1-Materiais[[#This Row],[Margem
(%)]])</f>
        <v>0</v>
      </c>
      <c r="N357" s="16">
        <f>Materiais[[#This Row],[Valor Venda c/ Potencial Desconto  em Material (R$)]]-Materiais[[#This Row],[Custo Total
Com IPI (R$)]]</f>
        <v>0</v>
      </c>
      <c r="O357" s="93">
        <f>Materiais[[#This Row],[Valor Total
Com Margem
Sem Tributos   (R$)]]/(1-('Valores Finais'!$C$10))</f>
        <v>0</v>
      </c>
      <c r="P357" s="93">
        <f>Materiais[[#This Row],[Valor Venda c/ Potencial Desconto  em Material (R$)]]/(1-('Valores Finais'!$B$6))</f>
        <v>0</v>
      </c>
      <c r="Q357" s="84">
        <f>'Valores Finais'!$B$10</f>
        <v>0.12</v>
      </c>
      <c r="R357" s="76">
        <f>Materiais[[#This Row],[Valor Venda c/ Comissões (R$)]]/(1-Materiais[[#This Row],[Tributos
(%)]])-Materiais[[#This Row],[Valor Venda c/ Comissões (R$)]]</f>
        <v>0</v>
      </c>
      <c r="S357" s="76">
        <f>Materiais[[#This Row],[Valor Venda c/ Comissões (R$)]]+Materiais[[#This Row],[Tributos
(R$)]]</f>
        <v>0</v>
      </c>
      <c r="T357" s="185"/>
      <c r="U357" s="186">
        <f ca="1">IF(Materiais[[#This Row],[Data Update]] = "",0,IF(_xlfn.DAYS(NOW(),Materiais[[#This Row],[Data Update]])&lt;=0,0,_xlfn.DAYS(NOW(),Materiais[[#This Row],[Data Update]])))</f>
        <v>0</v>
      </c>
    </row>
    <row r="358" spans="1:21" x14ac:dyDescent="0.2">
      <c r="A358" s="46"/>
      <c r="B358" s="46"/>
      <c r="C358" s="46"/>
      <c r="D358" s="46"/>
      <c r="E358" s="46"/>
      <c r="F358" s="138"/>
      <c r="G358" s="129"/>
      <c r="H358" s="180"/>
      <c r="I358" s="5">
        <f>(Materiais[[#This Row],[Qtde.]]*Materiais[[#This Row],[Custo Unitário
Sem Tributos (R$)]])</f>
        <v>0</v>
      </c>
      <c r="J358" s="92">
        <v>0</v>
      </c>
      <c r="K358" s="140">
        <f>Materiais[[#This Row],[Custo Total
Sem Tributos (R$)]]*Materiais[[#This Row],[IPI
(%)]]+Materiais[[#This Row],[Custo Total
Sem Tributos (R$)]]</f>
        <v>0</v>
      </c>
      <c r="L358" s="92">
        <v>0.1</v>
      </c>
      <c r="M358" s="76">
        <f>Materiais[[#This Row],[Custo Total
Com IPI (R$)]]/(1-Materiais[[#This Row],[Margem
(%)]])</f>
        <v>0</v>
      </c>
      <c r="N358" s="16">
        <f>Materiais[[#This Row],[Valor Venda c/ Potencial Desconto  em Material (R$)]]-Materiais[[#This Row],[Custo Total
Com IPI (R$)]]</f>
        <v>0</v>
      </c>
      <c r="O358" s="93">
        <f>Materiais[[#This Row],[Valor Total
Com Margem
Sem Tributos   (R$)]]/(1-('Valores Finais'!$C$10))</f>
        <v>0</v>
      </c>
      <c r="P358" s="93">
        <f>Materiais[[#This Row],[Valor Venda c/ Potencial Desconto  em Material (R$)]]/(1-('Valores Finais'!$B$6))</f>
        <v>0</v>
      </c>
      <c r="Q358" s="84">
        <f>'Valores Finais'!$B$10</f>
        <v>0.12</v>
      </c>
      <c r="R358" s="76">
        <f>Materiais[[#This Row],[Valor Venda c/ Comissões (R$)]]/(1-Materiais[[#This Row],[Tributos
(%)]])-Materiais[[#This Row],[Valor Venda c/ Comissões (R$)]]</f>
        <v>0</v>
      </c>
      <c r="S358" s="76">
        <f>Materiais[[#This Row],[Valor Venda c/ Comissões (R$)]]+Materiais[[#This Row],[Tributos
(R$)]]</f>
        <v>0</v>
      </c>
      <c r="T358" s="185"/>
      <c r="U358" s="186">
        <f ca="1">IF(Materiais[[#This Row],[Data Update]] = "",0,IF(_xlfn.DAYS(NOW(),Materiais[[#This Row],[Data Update]])&lt;=0,0,_xlfn.DAYS(NOW(),Materiais[[#This Row],[Data Update]])))</f>
        <v>0</v>
      </c>
    </row>
    <row r="359" spans="1:21" x14ac:dyDescent="0.2">
      <c r="A359" s="46"/>
      <c r="B359" s="46"/>
      <c r="C359" s="46"/>
      <c r="D359" s="46"/>
      <c r="E359" s="46"/>
      <c r="F359" s="138"/>
      <c r="G359" s="129"/>
      <c r="H359" s="180"/>
      <c r="I359" s="5">
        <f>(Materiais[[#This Row],[Qtde.]]*Materiais[[#This Row],[Custo Unitário
Sem Tributos (R$)]])</f>
        <v>0</v>
      </c>
      <c r="J359" s="92">
        <v>0</v>
      </c>
      <c r="K359" s="140">
        <f>Materiais[[#This Row],[Custo Total
Sem Tributos (R$)]]*Materiais[[#This Row],[IPI
(%)]]+Materiais[[#This Row],[Custo Total
Sem Tributos (R$)]]</f>
        <v>0</v>
      </c>
      <c r="L359" s="92">
        <v>0.1</v>
      </c>
      <c r="M359" s="76">
        <f>Materiais[[#This Row],[Custo Total
Com IPI (R$)]]/(1-Materiais[[#This Row],[Margem
(%)]])</f>
        <v>0</v>
      </c>
      <c r="N359" s="16">
        <f>Materiais[[#This Row],[Valor Venda c/ Potencial Desconto  em Material (R$)]]-Materiais[[#This Row],[Custo Total
Com IPI (R$)]]</f>
        <v>0</v>
      </c>
      <c r="O359" s="93">
        <f>Materiais[[#This Row],[Valor Total
Com Margem
Sem Tributos   (R$)]]/(1-('Valores Finais'!$C$10))</f>
        <v>0</v>
      </c>
      <c r="P359" s="93">
        <f>Materiais[[#This Row],[Valor Venda c/ Potencial Desconto  em Material (R$)]]/(1-('Valores Finais'!$B$6))</f>
        <v>0</v>
      </c>
      <c r="Q359" s="84">
        <f>'Valores Finais'!$B$10</f>
        <v>0.12</v>
      </c>
      <c r="R359" s="76">
        <f>Materiais[[#This Row],[Valor Venda c/ Comissões (R$)]]/(1-Materiais[[#This Row],[Tributos
(%)]])-Materiais[[#This Row],[Valor Venda c/ Comissões (R$)]]</f>
        <v>0</v>
      </c>
      <c r="S359" s="76">
        <f>Materiais[[#This Row],[Valor Venda c/ Comissões (R$)]]+Materiais[[#This Row],[Tributos
(R$)]]</f>
        <v>0</v>
      </c>
      <c r="T359" s="185"/>
      <c r="U359" s="186">
        <f ca="1">IF(Materiais[[#This Row],[Data Update]] = "",0,IF(_xlfn.DAYS(NOW(),Materiais[[#This Row],[Data Update]])&lt;=0,0,_xlfn.DAYS(NOW(),Materiais[[#This Row],[Data Update]])))</f>
        <v>0</v>
      </c>
    </row>
    <row r="360" spans="1:21" x14ac:dyDescent="0.2">
      <c r="A360" s="46"/>
      <c r="B360" s="46"/>
      <c r="C360" s="46"/>
      <c r="D360" s="46"/>
      <c r="E360" s="46"/>
      <c r="F360" s="138"/>
      <c r="G360" s="129"/>
      <c r="H360" s="180"/>
      <c r="I360" s="5">
        <f>(Materiais[[#This Row],[Qtde.]]*Materiais[[#This Row],[Custo Unitário
Sem Tributos (R$)]])</f>
        <v>0</v>
      </c>
      <c r="J360" s="92">
        <v>0</v>
      </c>
      <c r="K360" s="140">
        <f>Materiais[[#This Row],[Custo Total
Sem Tributos (R$)]]*Materiais[[#This Row],[IPI
(%)]]+Materiais[[#This Row],[Custo Total
Sem Tributos (R$)]]</f>
        <v>0</v>
      </c>
      <c r="L360" s="92">
        <v>0.1</v>
      </c>
      <c r="M360" s="76">
        <f>Materiais[[#This Row],[Custo Total
Com IPI (R$)]]/(1-Materiais[[#This Row],[Margem
(%)]])</f>
        <v>0</v>
      </c>
      <c r="N360" s="16">
        <f>Materiais[[#This Row],[Valor Venda c/ Potencial Desconto  em Material (R$)]]-Materiais[[#This Row],[Custo Total
Com IPI (R$)]]</f>
        <v>0</v>
      </c>
      <c r="O360" s="93">
        <f>Materiais[[#This Row],[Valor Total
Com Margem
Sem Tributos   (R$)]]/(1-('Valores Finais'!$C$10))</f>
        <v>0</v>
      </c>
      <c r="P360" s="93">
        <f>Materiais[[#This Row],[Valor Venda c/ Potencial Desconto  em Material (R$)]]/(1-('Valores Finais'!$B$6))</f>
        <v>0</v>
      </c>
      <c r="Q360" s="84">
        <f>'Valores Finais'!$B$10</f>
        <v>0.12</v>
      </c>
      <c r="R360" s="76">
        <f>Materiais[[#This Row],[Valor Venda c/ Comissões (R$)]]/(1-Materiais[[#This Row],[Tributos
(%)]])-Materiais[[#This Row],[Valor Venda c/ Comissões (R$)]]</f>
        <v>0</v>
      </c>
      <c r="S360" s="76">
        <f>Materiais[[#This Row],[Valor Venda c/ Comissões (R$)]]+Materiais[[#This Row],[Tributos
(R$)]]</f>
        <v>0</v>
      </c>
      <c r="T360" s="185"/>
      <c r="U360" s="186">
        <f ca="1">IF(Materiais[[#This Row],[Data Update]] = "",0,IF(_xlfn.DAYS(NOW(),Materiais[[#This Row],[Data Update]])&lt;=0,0,_xlfn.DAYS(NOW(),Materiais[[#This Row],[Data Update]])))</f>
        <v>0</v>
      </c>
    </row>
    <row r="361" spans="1:21" x14ac:dyDescent="0.2">
      <c r="A361" s="46"/>
      <c r="B361" s="46"/>
      <c r="C361" s="46"/>
      <c r="D361" s="46"/>
      <c r="E361" s="46"/>
      <c r="F361" s="138"/>
      <c r="G361" s="129"/>
      <c r="H361" s="180"/>
      <c r="I361" s="5">
        <f>(Materiais[[#This Row],[Qtde.]]*Materiais[[#This Row],[Custo Unitário
Sem Tributos (R$)]])</f>
        <v>0</v>
      </c>
      <c r="J361" s="92">
        <v>0</v>
      </c>
      <c r="K361" s="140">
        <f>Materiais[[#This Row],[Custo Total
Sem Tributos (R$)]]*Materiais[[#This Row],[IPI
(%)]]+Materiais[[#This Row],[Custo Total
Sem Tributos (R$)]]</f>
        <v>0</v>
      </c>
      <c r="L361" s="92">
        <v>0.1</v>
      </c>
      <c r="M361" s="76">
        <f>Materiais[[#This Row],[Custo Total
Com IPI (R$)]]/(1-Materiais[[#This Row],[Margem
(%)]])</f>
        <v>0</v>
      </c>
      <c r="N361" s="16">
        <f>Materiais[[#This Row],[Valor Venda c/ Potencial Desconto  em Material (R$)]]-Materiais[[#This Row],[Custo Total
Com IPI (R$)]]</f>
        <v>0</v>
      </c>
      <c r="O361" s="93">
        <f>Materiais[[#This Row],[Valor Total
Com Margem
Sem Tributos   (R$)]]/(1-('Valores Finais'!$C$10))</f>
        <v>0</v>
      </c>
      <c r="P361" s="93">
        <f>Materiais[[#This Row],[Valor Venda c/ Potencial Desconto  em Material (R$)]]/(1-('Valores Finais'!$B$6))</f>
        <v>0</v>
      </c>
      <c r="Q361" s="84">
        <f>'Valores Finais'!$B$10</f>
        <v>0.12</v>
      </c>
      <c r="R361" s="76">
        <f>Materiais[[#This Row],[Valor Venda c/ Comissões (R$)]]/(1-Materiais[[#This Row],[Tributos
(%)]])-Materiais[[#This Row],[Valor Venda c/ Comissões (R$)]]</f>
        <v>0</v>
      </c>
      <c r="S361" s="76">
        <f>Materiais[[#This Row],[Valor Venda c/ Comissões (R$)]]+Materiais[[#This Row],[Tributos
(R$)]]</f>
        <v>0</v>
      </c>
      <c r="T361" s="185"/>
      <c r="U361" s="186">
        <f ca="1">IF(Materiais[[#This Row],[Data Update]] = "",0,IF(_xlfn.DAYS(NOW(),Materiais[[#This Row],[Data Update]])&lt;=0,0,_xlfn.DAYS(NOW(),Materiais[[#This Row],[Data Update]])))</f>
        <v>0</v>
      </c>
    </row>
    <row r="362" spans="1:21" x14ac:dyDescent="0.2">
      <c r="A362" s="46"/>
      <c r="B362" s="46"/>
      <c r="C362" s="46"/>
      <c r="D362" s="46"/>
      <c r="E362" s="46"/>
      <c r="F362" s="138"/>
      <c r="G362" s="129"/>
      <c r="H362" s="180"/>
      <c r="I362" s="5">
        <f>(Materiais[[#This Row],[Qtde.]]*Materiais[[#This Row],[Custo Unitário
Sem Tributos (R$)]])</f>
        <v>0</v>
      </c>
      <c r="J362" s="92">
        <v>0</v>
      </c>
      <c r="K362" s="140">
        <f>Materiais[[#This Row],[Custo Total
Sem Tributos (R$)]]*Materiais[[#This Row],[IPI
(%)]]+Materiais[[#This Row],[Custo Total
Sem Tributos (R$)]]</f>
        <v>0</v>
      </c>
      <c r="L362" s="92">
        <v>0.1</v>
      </c>
      <c r="M362" s="76">
        <f>Materiais[[#This Row],[Custo Total
Com IPI (R$)]]/(1-Materiais[[#This Row],[Margem
(%)]])</f>
        <v>0</v>
      </c>
      <c r="N362" s="16">
        <f>Materiais[[#This Row],[Valor Venda c/ Potencial Desconto  em Material (R$)]]-Materiais[[#This Row],[Custo Total
Com IPI (R$)]]</f>
        <v>0</v>
      </c>
      <c r="O362" s="93">
        <f>Materiais[[#This Row],[Valor Total
Com Margem
Sem Tributos   (R$)]]/(1-('Valores Finais'!$C$10))</f>
        <v>0</v>
      </c>
      <c r="P362" s="93">
        <f>Materiais[[#This Row],[Valor Venda c/ Potencial Desconto  em Material (R$)]]/(1-('Valores Finais'!$B$6))</f>
        <v>0</v>
      </c>
      <c r="Q362" s="84">
        <f>'Valores Finais'!$B$10</f>
        <v>0.12</v>
      </c>
      <c r="R362" s="76">
        <f>Materiais[[#This Row],[Valor Venda c/ Comissões (R$)]]/(1-Materiais[[#This Row],[Tributos
(%)]])-Materiais[[#This Row],[Valor Venda c/ Comissões (R$)]]</f>
        <v>0</v>
      </c>
      <c r="S362" s="76">
        <f>Materiais[[#This Row],[Valor Venda c/ Comissões (R$)]]+Materiais[[#This Row],[Tributos
(R$)]]</f>
        <v>0</v>
      </c>
      <c r="T362" s="185"/>
      <c r="U362" s="186">
        <f ca="1">IF(Materiais[[#This Row],[Data Update]] = "",0,IF(_xlfn.DAYS(NOW(),Materiais[[#This Row],[Data Update]])&lt;=0,0,_xlfn.DAYS(NOW(),Materiais[[#This Row],[Data Update]])))</f>
        <v>0</v>
      </c>
    </row>
    <row r="363" spans="1:21" x14ac:dyDescent="0.2">
      <c r="A363" s="46"/>
      <c r="B363" s="46"/>
      <c r="C363" s="46"/>
      <c r="D363" s="46"/>
      <c r="E363" s="46"/>
      <c r="F363" s="138"/>
      <c r="G363" s="129"/>
      <c r="H363" s="180"/>
      <c r="I363" s="5">
        <f>(Materiais[[#This Row],[Qtde.]]*Materiais[[#This Row],[Custo Unitário
Sem Tributos (R$)]])</f>
        <v>0</v>
      </c>
      <c r="J363" s="92">
        <v>0</v>
      </c>
      <c r="K363" s="140">
        <f>Materiais[[#This Row],[Custo Total
Sem Tributos (R$)]]*Materiais[[#This Row],[IPI
(%)]]+Materiais[[#This Row],[Custo Total
Sem Tributos (R$)]]</f>
        <v>0</v>
      </c>
      <c r="L363" s="92">
        <v>0.1</v>
      </c>
      <c r="M363" s="76">
        <f>Materiais[[#This Row],[Custo Total
Com IPI (R$)]]/(1-Materiais[[#This Row],[Margem
(%)]])</f>
        <v>0</v>
      </c>
      <c r="N363" s="16">
        <f>Materiais[[#This Row],[Valor Venda c/ Potencial Desconto  em Material (R$)]]-Materiais[[#This Row],[Custo Total
Com IPI (R$)]]</f>
        <v>0</v>
      </c>
      <c r="O363" s="93">
        <f>Materiais[[#This Row],[Valor Total
Com Margem
Sem Tributos   (R$)]]/(1-('Valores Finais'!$C$10))</f>
        <v>0</v>
      </c>
      <c r="P363" s="93">
        <f>Materiais[[#This Row],[Valor Venda c/ Potencial Desconto  em Material (R$)]]/(1-('Valores Finais'!$B$6))</f>
        <v>0</v>
      </c>
      <c r="Q363" s="84">
        <f>'Valores Finais'!$B$10</f>
        <v>0.12</v>
      </c>
      <c r="R363" s="76">
        <f>Materiais[[#This Row],[Valor Venda c/ Comissões (R$)]]/(1-Materiais[[#This Row],[Tributos
(%)]])-Materiais[[#This Row],[Valor Venda c/ Comissões (R$)]]</f>
        <v>0</v>
      </c>
      <c r="S363" s="76">
        <f>Materiais[[#This Row],[Valor Venda c/ Comissões (R$)]]+Materiais[[#This Row],[Tributos
(R$)]]</f>
        <v>0</v>
      </c>
      <c r="T363" s="185"/>
      <c r="U363" s="186">
        <f ca="1">IF(Materiais[[#This Row],[Data Update]] = "",0,IF(_xlfn.DAYS(NOW(),Materiais[[#This Row],[Data Update]])&lt;=0,0,_xlfn.DAYS(NOW(),Materiais[[#This Row],[Data Update]])))</f>
        <v>0</v>
      </c>
    </row>
    <row r="364" spans="1:21" x14ac:dyDescent="0.2">
      <c r="A364" s="46"/>
      <c r="B364" s="46"/>
      <c r="C364" s="46"/>
      <c r="D364" s="46"/>
      <c r="E364" s="46"/>
      <c r="F364" s="138"/>
      <c r="G364" s="129"/>
      <c r="H364" s="180"/>
      <c r="I364" s="5">
        <f>(Materiais[[#This Row],[Qtde.]]*Materiais[[#This Row],[Custo Unitário
Sem Tributos (R$)]])</f>
        <v>0</v>
      </c>
      <c r="J364" s="92">
        <v>0</v>
      </c>
      <c r="K364" s="140">
        <f>Materiais[[#This Row],[Custo Total
Sem Tributos (R$)]]*Materiais[[#This Row],[IPI
(%)]]+Materiais[[#This Row],[Custo Total
Sem Tributos (R$)]]</f>
        <v>0</v>
      </c>
      <c r="L364" s="92">
        <v>0.1</v>
      </c>
      <c r="M364" s="76">
        <f>Materiais[[#This Row],[Custo Total
Com IPI (R$)]]/(1-Materiais[[#This Row],[Margem
(%)]])</f>
        <v>0</v>
      </c>
      <c r="N364" s="16">
        <f>Materiais[[#This Row],[Valor Venda c/ Potencial Desconto  em Material (R$)]]-Materiais[[#This Row],[Custo Total
Com IPI (R$)]]</f>
        <v>0</v>
      </c>
      <c r="O364" s="93">
        <f>Materiais[[#This Row],[Valor Total
Com Margem
Sem Tributos   (R$)]]/(1-('Valores Finais'!$C$10))</f>
        <v>0</v>
      </c>
      <c r="P364" s="93">
        <f>Materiais[[#This Row],[Valor Venda c/ Potencial Desconto  em Material (R$)]]/(1-('Valores Finais'!$B$6))</f>
        <v>0</v>
      </c>
      <c r="Q364" s="84">
        <f>'Valores Finais'!$B$10</f>
        <v>0.12</v>
      </c>
      <c r="R364" s="76">
        <f>Materiais[[#This Row],[Valor Venda c/ Comissões (R$)]]/(1-Materiais[[#This Row],[Tributos
(%)]])-Materiais[[#This Row],[Valor Venda c/ Comissões (R$)]]</f>
        <v>0</v>
      </c>
      <c r="S364" s="76">
        <f>Materiais[[#This Row],[Valor Venda c/ Comissões (R$)]]+Materiais[[#This Row],[Tributos
(R$)]]</f>
        <v>0</v>
      </c>
      <c r="T364" s="185"/>
      <c r="U364" s="186">
        <f ca="1">IF(Materiais[[#This Row],[Data Update]] = "",0,IF(_xlfn.DAYS(NOW(),Materiais[[#This Row],[Data Update]])&lt;=0,0,_xlfn.DAYS(NOW(),Materiais[[#This Row],[Data Update]])))</f>
        <v>0</v>
      </c>
    </row>
    <row r="365" spans="1:21" x14ac:dyDescent="0.2">
      <c r="A365" s="46"/>
      <c r="B365" s="46"/>
      <c r="C365" s="46"/>
      <c r="D365" s="46"/>
      <c r="E365" s="46"/>
      <c r="F365" s="138"/>
      <c r="G365" s="129"/>
      <c r="H365" s="180"/>
      <c r="I365" s="5">
        <f>(Materiais[[#This Row],[Qtde.]]*Materiais[[#This Row],[Custo Unitário
Sem Tributos (R$)]])</f>
        <v>0</v>
      </c>
      <c r="J365" s="92">
        <v>0</v>
      </c>
      <c r="K365" s="140">
        <f>Materiais[[#This Row],[Custo Total
Sem Tributos (R$)]]*Materiais[[#This Row],[IPI
(%)]]+Materiais[[#This Row],[Custo Total
Sem Tributos (R$)]]</f>
        <v>0</v>
      </c>
      <c r="L365" s="92">
        <v>0.1</v>
      </c>
      <c r="M365" s="76">
        <f>Materiais[[#This Row],[Custo Total
Com IPI (R$)]]/(1-Materiais[[#This Row],[Margem
(%)]])</f>
        <v>0</v>
      </c>
      <c r="N365" s="16">
        <f>Materiais[[#This Row],[Valor Venda c/ Potencial Desconto  em Material (R$)]]-Materiais[[#This Row],[Custo Total
Com IPI (R$)]]</f>
        <v>0</v>
      </c>
      <c r="O365" s="93">
        <f>Materiais[[#This Row],[Valor Total
Com Margem
Sem Tributos   (R$)]]/(1-('Valores Finais'!$C$10))</f>
        <v>0</v>
      </c>
      <c r="P365" s="93">
        <f>Materiais[[#This Row],[Valor Venda c/ Potencial Desconto  em Material (R$)]]/(1-('Valores Finais'!$B$6))</f>
        <v>0</v>
      </c>
      <c r="Q365" s="84">
        <f>'Valores Finais'!$B$10</f>
        <v>0.12</v>
      </c>
      <c r="R365" s="76">
        <f>Materiais[[#This Row],[Valor Venda c/ Comissões (R$)]]/(1-Materiais[[#This Row],[Tributos
(%)]])-Materiais[[#This Row],[Valor Venda c/ Comissões (R$)]]</f>
        <v>0</v>
      </c>
      <c r="S365" s="76">
        <f>Materiais[[#This Row],[Valor Venda c/ Comissões (R$)]]+Materiais[[#This Row],[Tributos
(R$)]]</f>
        <v>0</v>
      </c>
      <c r="T365" s="185"/>
      <c r="U365" s="186">
        <f ca="1">IF(Materiais[[#This Row],[Data Update]] = "",0,IF(_xlfn.DAYS(NOW(),Materiais[[#This Row],[Data Update]])&lt;=0,0,_xlfn.DAYS(NOW(),Materiais[[#This Row],[Data Update]])))</f>
        <v>0</v>
      </c>
    </row>
    <row r="366" spans="1:21" x14ac:dyDescent="0.2">
      <c r="A366" s="46"/>
      <c r="B366" s="46"/>
      <c r="C366" s="46"/>
      <c r="D366" s="46"/>
      <c r="E366" s="46"/>
      <c r="F366" s="138"/>
      <c r="G366" s="129"/>
      <c r="H366" s="180"/>
      <c r="I366" s="5">
        <f>(Materiais[[#This Row],[Qtde.]]*Materiais[[#This Row],[Custo Unitário
Sem Tributos (R$)]])</f>
        <v>0</v>
      </c>
      <c r="J366" s="92">
        <v>0</v>
      </c>
      <c r="K366" s="140">
        <f>Materiais[[#This Row],[Custo Total
Sem Tributos (R$)]]*Materiais[[#This Row],[IPI
(%)]]+Materiais[[#This Row],[Custo Total
Sem Tributos (R$)]]</f>
        <v>0</v>
      </c>
      <c r="L366" s="92">
        <v>0.1</v>
      </c>
      <c r="M366" s="76">
        <f>Materiais[[#This Row],[Custo Total
Com IPI (R$)]]/(1-Materiais[[#This Row],[Margem
(%)]])</f>
        <v>0</v>
      </c>
      <c r="N366" s="16">
        <f>Materiais[[#This Row],[Valor Venda c/ Potencial Desconto  em Material (R$)]]-Materiais[[#This Row],[Custo Total
Com IPI (R$)]]</f>
        <v>0</v>
      </c>
      <c r="O366" s="93">
        <f>Materiais[[#This Row],[Valor Total
Com Margem
Sem Tributos   (R$)]]/(1-('Valores Finais'!$C$10))</f>
        <v>0</v>
      </c>
      <c r="P366" s="93">
        <f>Materiais[[#This Row],[Valor Venda c/ Potencial Desconto  em Material (R$)]]/(1-('Valores Finais'!$B$6))</f>
        <v>0</v>
      </c>
      <c r="Q366" s="84">
        <f>'Valores Finais'!$B$10</f>
        <v>0.12</v>
      </c>
      <c r="R366" s="76">
        <f>Materiais[[#This Row],[Valor Venda c/ Comissões (R$)]]/(1-Materiais[[#This Row],[Tributos
(%)]])-Materiais[[#This Row],[Valor Venda c/ Comissões (R$)]]</f>
        <v>0</v>
      </c>
      <c r="S366" s="76">
        <f>Materiais[[#This Row],[Valor Venda c/ Comissões (R$)]]+Materiais[[#This Row],[Tributos
(R$)]]</f>
        <v>0</v>
      </c>
      <c r="T366" s="185"/>
      <c r="U366" s="186">
        <f ca="1">IF(Materiais[[#This Row],[Data Update]] = "",0,IF(_xlfn.DAYS(NOW(),Materiais[[#This Row],[Data Update]])&lt;=0,0,_xlfn.DAYS(NOW(),Materiais[[#This Row],[Data Update]])))</f>
        <v>0</v>
      </c>
    </row>
    <row r="367" spans="1:21" x14ac:dyDescent="0.2">
      <c r="A367" s="46"/>
      <c r="B367" s="46"/>
      <c r="C367" s="46"/>
      <c r="D367" s="46"/>
      <c r="E367" s="46"/>
      <c r="F367" s="138"/>
      <c r="G367" s="129"/>
      <c r="H367" s="180"/>
      <c r="I367" s="5">
        <f>(Materiais[[#This Row],[Qtde.]]*Materiais[[#This Row],[Custo Unitário
Sem Tributos (R$)]])</f>
        <v>0</v>
      </c>
      <c r="J367" s="92">
        <v>0</v>
      </c>
      <c r="K367" s="140">
        <f>Materiais[[#This Row],[Custo Total
Sem Tributos (R$)]]*Materiais[[#This Row],[IPI
(%)]]+Materiais[[#This Row],[Custo Total
Sem Tributos (R$)]]</f>
        <v>0</v>
      </c>
      <c r="L367" s="92">
        <v>0.1</v>
      </c>
      <c r="M367" s="76">
        <f>Materiais[[#This Row],[Custo Total
Com IPI (R$)]]/(1-Materiais[[#This Row],[Margem
(%)]])</f>
        <v>0</v>
      </c>
      <c r="N367" s="16">
        <f>Materiais[[#This Row],[Valor Venda c/ Potencial Desconto  em Material (R$)]]-Materiais[[#This Row],[Custo Total
Com IPI (R$)]]</f>
        <v>0</v>
      </c>
      <c r="O367" s="93">
        <f>Materiais[[#This Row],[Valor Total
Com Margem
Sem Tributos   (R$)]]/(1-('Valores Finais'!$C$10))</f>
        <v>0</v>
      </c>
      <c r="P367" s="93">
        <f>Materiais[[#This Row],[Valor Venda c/ Potencial Desconto  em Material (R$)]]/(1-('Valores Finais'!$B$6))</f>
        <v>0</v>
      </c>
      <c r="Q367" s="84">
        <f>'Valores Finais'!$B$10</f>
        <v>0.12</v>
      </c>
      <c r="R367" s="76">
        <f>Materiais[[#This Row],[Valor Venda c/ Comissões (R$)]]/(1-Materiais[[#This Row],[Tributos
(%)]])-Materiais[[#This Row],[Valor Venda c/ Comissões (R$)]]</f>
        <v>0</v>
      </c>
      <c r="S367" s="76">
        <f>Materiais[[#This Row],[Valor Venda c/ Comissões (R$)]]+Materiais[[#This Row],[Tributos
(R$)]]</f>
        <v>0</v>
      </c>
      <c r="T367" s="185"/>
      <c r="U367" s="186">
        <f ca="1">IF(Materiais[[#This Row],[Data Update]] = "",0,IF(_xlfn.DAYS(NOW(),Materiais[[#This Row],[Data Update]])&lt;=0,0,_xlfn.DAYS(NOW(),Materiais[[#This Row],[Data Update]])))</f>
        <v>0</v>
      </c>
    </row>
    <row r="368" spans="1:21" x14ac:dyDescent="0.2">
      <c r="A368" s="46"/>
      <c r="B368" s="46"/>
      <c r="C368" s="46"/>
      <c r="D368" s="46"/>
      <c r="E368" s="46"/>
      <c r="F368" s="138"/>
      <c r="G368" s="129"/>
      <c r="H368" s="180"/>
      <c r="I368" s="5">
        <f>(Materiais[[#This Row],[Qtde.]]*Materiais[[#This Row],[Custo Unitário
Sem Tributos (R$)]])</f>
        <v>0</v>
      </c>
      <c r="J368" s="92">
        <v>0</v>
      </c>
      <c r="K368" s="140">
        <f>Materiais[[#This Row],[Custo Total
Sem Tributos (R$)]]*Materiais[[#This Row],[IPI
(%)]]+Materiais[[#This Row],[Custo Total
Sem Tributos (R$)]]</f>
        <v>0</v>
      </c>
      <c r="L368" s="92">
        <v>0.1</v>
      </c>
      <c r="M368" s="76">
        <f>Materiais[[#This Row],[Custo Total
Com IPI (R$)]]/(1-Materiais[[#This Row],[Margem
(%)]])</f>
        <v>0</v>
      </c>
      <c r="N368" s="16">
        <f>Materiais[[#This Row],[Valor Venda c/ Potencial Desconto  em Material (R$)]]-Materiais[[#This Row],[Custo Total
Com IPI (R$)]]</f>
        <v>0</v>
      </c>
      <c r="O368" s="93">
        <f>Materiais[[#This Row],[Valor Total
Com Margem
Sem Tributos   (R$)]]/(1-('Valores Finais'!$C$10))</f>
        <v>0</v>
      </c>
      <c r="P368" s="93">
        <f>Materiais[[#This Row],[Valor Venda c/ Potencial Desconto  em Material (R$)]]/(1-('Valores Finais'!$B$6))</f>
        <v>0</v>
      </c>
      <c r="Q368" s="84">
        <f>'Valores Finais'!$B$10</f>
        <v>0.12</v>
      </c>
      <c r="R368" s="76">
        <f>Materiais[[#This Row],[Valor Venda c/ Comissões (R$)]]/(1-Materiais[[#This Row],[Tributos
(%)]])-Materiais[[#This Row],[Valor Venda c/ Comissões (R$)]]</f>
        <v>0</v>
      </c>
      <c r="S368" s="76">
        <f>Materiais[[#This Row],[Valor Venda c/ Comissões (R$)]]+Materiais[[#This Row],[Tributos
(R$)]]</f>
        <v>0</v>
      </c>
      <c r="T368" s="185"/>
      <c r="U368" s="186">
        <f ca="1">IF(Materiais[[#This Row],[Data Update]] = "",0,IF(_xlfn.DAYS(NOW(),Materiais[[#This Row],[Data Update]])&lt;=0,0,_xlfn.DAYS(NOW(),Materiais[[#This Row],[Data Update]])))</f>
        <v>0</v>
      </c>
    </row>
    <row r="369" spans="1:21" x14ac:dyDescent="0.2">
      <c r="A369" s="46"/>
      <c r="B369" s="46"/>
      <c r="C369" s="46"/>
      <c r="D369" s="46"/>
      <c r="E369" s="46"/>
      <c r="F369" s="138"/>
      <c r="G369" s="129"/>
      <c r="H369" s="180"/>
      <c r="I369" s="5">
        <f>(Materiais[[#This Row],[Qtde.]]*Materiais[[#This Row],[Custo Unitário
Sem Tributos (R$)]])</f>
        <v>0</v>
      </c>
      <c r="J369" s="92">
        <v>0</v>
      </c>
      <c r="K369" s="140">
        <f>Materiais[[#This Row],[Custo Total
Sem Tributos (R$)]]*Materiais[[#This Row],[IPI
(%)]]+Materiais[[#This Row],[Custo Total
Sem Tributos (R$)]]</f>
        <v>0</v>
      </c>
      <c r="L369" s="92">
        <v>0.1</v>
      </c>
      <c r="M369" s="76">
        <f>Materiais[[#This Row],[Custo Total
Com IPI (R$)]]/(1-Materiais[[#This Row],[Margem
(%)]])</f>
        <v>0</v>
      </c>
      <c r="N369" s="16">
        <f>Materiais[[#This Row],[Valor Venda c/ Potencial Desconto  em Material (R$)]]-Materiais[[#This Row],[Custo Total
Com IPI (R$)]]</f>
        <v>0</v>
      </c>
      <c r="O369" s="93">
        <f>Materiais[[#This Row],[Valor Total
Com Margem
Sem Tributos   (R$)]]/(1-('Valores Finais'!$C$10))</f>
        <v>0</v>
      </c>
      <c r="P369" s="93">
        <f>Materiais[[#This Row],[Valor Venda c/ Potencial Desconto  em Material (R$)]]/(1-('Valores Finais'!$B$6))</f>
        <v>0</v>
      </c>
      <c r="Q369" s="84">
        <f>'Valores Finais'!$B$10</f>
        <v>0.12</v>
      </c>
      <c r="R369" s="76">
        <f>Materiais[[#This Row],[Valor Venda c/ Comissões (R$)]]/(1-Materiais[[#This Row],[Tributos
(%)]])-Materiais[[#This Row],[Valor Venda c/ Comissões (R$)]]</f>
        <v>0</v>
      </c>
      <c r="S369" s="76">
        <f>Materiais[[#This Row],[Valor Venda c/ Comissões (R$)]]+Materiais[[#This Row],[Tributos
(R$)]]</f>
        <v>0</v>
      </c>
      <c r="T369" s="185"/>
      <c r="U369" s="186">
        <f ca="1">IF(Materiais[[#This Row],[Data Update]] = "",0,IF(_xlfn.DAYS(NOW(),Materiais[[#This Row],[Data Update]])&lt;=0,0,_xlfn.DAYS(NOW(),Materiais[[#This Row],[Data Update]])))</f>
        <v>0</v>
      </c>
    </row>
    <row r="370" spans="1:21" x14ac:dyDescent="0.2">
      <c r="A370" s="46"/>
      <c r="B370" s="46"/>
      <c r="C370" s="46"/>
      <c r="D370" s="46"/>
      <c r="E370" s="46"/>
      <c r="F370" s="138"/>
      <c r="G370" s="129"/>
      <c r="H370" s="180"/>
      <c r="I370" s="5">
        <f>(Materiais[[#This Row],[Qtde.]]*Materiais[[#This Row],[Custo Unitário
Sem Tributos (R$)]])</f>
        <v>0</v>
      </c>
      <c r="J370" s="92">
        <v>0</v>
      </c>
      <c r="K370" s="140">
        <f>Materiais[[#This Row],[Custo Total
Sem Tributos (R$)]]*Materiais[[#This Row],[IPI
(%)]]+Materiais[[#This Row],[Custo Total
Sem Tributos (R$)]]</f>
        <v>0</v>
      </c>
      <c r="L370" s="92">
        <v>0.1</v>
      </c>
      <c r="M370" s="76">
        <f>Materiais[[#This Row],[Custo Total
Com IPI (R$)]]/(1-Materiais[[#This Row],[Margem
(%)]])</f>
        <v>0</v>
      </c>
      <c r="N370" s="16">
        <f>Materiais[[#This Row],[Valor Venda c/ Potencial Desconto  em Material (R$)]]-Materiais[[#This Row],[Custo Total
Com IPI (R$)]]</f>
        <v>0</v>
      </c>
      <c r="O370" s="93">
        <f>Materiais[[#This Row],[Valor Total
Com Margem
Sem Tributos   (R$)]]/(1-('Valores Finais'!$C$10))</f>
        <v>0</v>
      </c>
      <c r="P370" s="93">
        <f>Materiais[[#This Row],[Valor Venda c/ Potencial Desconto  em Material (R$)]]/(1-('Valores Finais'!$B$6))</f>
        <v>0</v>
      </c>
      <c r="Q370" s="84">
        <f>'Valores Finais'!$B$10</f>
        <v>0.12</v>
      </c>
      <c r="R370" s="76">
        <f>Materiais[[#This Row],[Valor Venda c/ Comissões (R$)]]/(1-Materiais[[#This Row],[Tributos
(%)]])-Materiais[[#This Row],[Valor Venda c/ Comissões (R$)]]</f>
        <v>0</v>
      </c>
      <c r="S370" s="76">
        <f>Materiais[[#This Row],[Valor Venda c/ Comissões (R$)]]+Materiais[[#This Row],[Tributos
(R$)]]</f>
        <v>0</v>
      </c>
      <c r="T370" s="185"/>
      <c r="U370" s="186">
        <f ca="1">IF(Materiais[[#This Row],[Data Update]] = "",0,IF(_xlfn.DAYS(NOW(),Materiais[[#This Row],[Data Update]])&lt;=0,0,_xlfn.DAYS(NOW(),Materiais[[#This Row],[Data Update]])))</f>
        <v>0</v>
      </c>
    </row>
    <row r="371" spans="1:21" x14ac:dyDescent="0.2">
      <c r="A371" s="46"/>
      <c r="B371" s="46"/>
      <c r="C371" s="46"/>
      <c r="D371" s="46"/>
      <c r="E371" s="46"/>
      <c r="F371" s="138"/>
      <c r="G371" s="129"/>
      <c r="H371" s="180"/>
      <c r="I371" s="5">
        <f>(Materiais[[#This Row],[Qtde.]]*Materiais[[#This Row],[Custo Unitário
Sem Tributos (R$)]])</f>
        <v>0</v>
      </c>
      <c r="J371" s="92">
        <v>0</v>
      </c>
      <c r="K371" s="140">
        <f>Materiais[[#This Row],[Custo Total
Sem Tributos (R$)]]*Materiais[[#This Row],[IPI
(%)]]+Materiais[[#This Row],[Custo Total
Sem Tributos (R$)]]</f>
        <v>0</v>
      </c>
      <c r="L371" s="92">
        <v>0.1</v>
      </c>
      <c r="M371" s="76">
        <f>Materiais[[#This Row],[Custo Total
Com IPI (R$)]]/(1-Materiais[[#This Row],[Margem
(%)]])</f>
        <v>0</v>
      </c>
      <c r="N371" s="16">
        <f>Materiais[[#This Row],[Valor Venda c/ Potencial Desconto  em Material (R$)]]-Materiais[[#This Row],[Custo Total
Com IPI (R$)]]</f>
        <v>0</v>
      </c>
      <c r="O371" s="93">
        <f>Materiais[[#This Row],[Valor Total
Com Margem
Sem Tributos   (R$)]]/(1-('Valores Finais'!$C$10))</f>
        <v>0</v>
      </c>
      <c r="P371" s="93">
        <f>Materiais[[#This Row],[Valor Venda c/ Potencial Desconto  em Material (R$)]]/(1-('Valores Finais'!$B$6))</f>
        <v>0</v>
      </c>
      <c r="Q371" s="84">
        <f>'Valores Finais'!$B$10</f>
        <v>0.12</v>
      </c>
      <c r="R371" s="76">
        <f>Materiais[[#This Row],[Valor Venda c/ Comissões (R$)]]/(1-Materiais[[#This Row],[Tributos
(%)]])-Materiais[[#This Row],[Valor Venda c/ Comissões (R$)]]</f>
        <v>0</v>
      </c>
      <c r="S371" s="76">
        <f>Materiais[[#This Row],[Valor Venda c/ Comissões (R$)]]+Materiais[[#This Row],[Tributos
(R$)]]</f>
        <v>0</v>
      </c>
      <c r="T371" s="185"/>
      <c r="U371" s="186">
        <f ca="1">IF(Materiais[[#This Row],[Data Update]] = "",0,IF(_xlfn.DAYS(NOW(),Materiais[[#This Row],[Data Update]])&lt;=0,0,_xlfn.DAYS(NOW(),Materiais[[#This Row],[Data Update]])))</f>
        <v>0</v>
      </c>
    </row>
    <row r="372" spans="1:21" x14ac:dyDescent="0.2">
      <c r="A372" s="46"/>
      <c r="B372" s="46"/>
      <c r="C372" s="46"/>
      <c r="D372" s="46"/>
      <c r="E372" s="46"/>
      <c r="F372" s="138"/>
      <c r="G372" s="129"/>
      <c r="H372" s="180"/>
      <c r="I372" s="5">
        <f>(Materiais[[#This Row],[Qtde.]]*Materiais[[#This Row],[Custo Unitário
Sem Tributos (R$)]])</f>
        <v>0</v>
      </c>
      <c r="J372" s="92">
        <v>0</v>
      </c>
      <c r="K372" s="140">
        <f>Materiais[[#This Row],[Custo Total
Sem Tributos (R$)]]*Materiais[[#This Row],[IPI
(%)]]+Materiais[[#This Row],[Custo Total
Sem Tributos (R$)]]</f>
        <v>0</v>
      </c>
      <c r="L372" s="92">
        <v>0.1</v>
      </c>
      <c r="M372" s="76">
        <f>Materiais[[#This Row],[Custo Total
Com IPI (R$)]]/(1-Materiais[[#This Row],[Margem
(%)]])</f>
        <v>0</v>
      </c>
      <c r="N372" s="16">
        <f>Materiais[[#This Row],[Valor Venda c/ Potencial Desconto  em Material (R$)]]-Materiais[[#This Row],[Custo Total
Com IPI (R$)]]</f>
        <v>0</v>
      </c>
      <c r="O372" s="93">
        <f>Materiais[[#This Row],[Valor Total
Com Margem
Sem Tributos   (R$)]]/(1-('Valores Finais'!$C$10))</f>
        <v>0</v>
      </c>
      <c r="P372" s="93">
        <f>Materiais[[#This Row],[Valor Venda c/ Potencial Desconto  em Material (R$)]]/(1-('Valores Finais'!$B$6))</f>
        <v>0</v>
      </c>
      <c r="Q372" s="84">
        <f>'Valores Finais'!$B$10</f>
        <v>0.12</v>
      </c>
      <c r="R372" s="76">
        <f>Materiais[[#This Row],[Valor Venda c/ Comissões (R$)]]/(1-Materiais[[#This Row],[Tributos
(%)]])-Materiais[[#This Row],[Valor Venda c/ Comissões (R$)]]</f>
        <v>0</v>
      </c>
      <c r="S372" s="76">
        <f>Materiais[[#This Row],[Valor Venda c/ Comissões (R$)]]+Materiais[[#This Row],[Tributos
(R$)]]</f>
        <v>0</v>
      </c>
      <c r="T372" s="185"/>
      <c r="U372" s="186">
        <f ca="1">IF(Materiais[[#This Row],[Data Update]] = "",0,IF(_xlfn.DAYS(NOW(),Materiais[[#This Row],[Data Update]])&lt;=0,0,_xlfn.DAYS(NOW(),Materiais[[#This Row],[Data Update]])))</f>
        <v>0</v>
      </c>
    </row>
    <row r="373" spans="1:21" x14ac:dyDescent="0.2">
      <c r="A373" s="46"/>
      <c r="B373" s="46"/>
      <c r="C373" s="46"/>
      <c r="D373" s="46"/>
      <c r="E373" s="46"/>
      <c r="F373" s="138"/>
      <c r="G373" s="129"/>
      <c r="H373" s="180"/>
      <c r="I373" s="5">
        <f>(Materiais[[#This Row],[Qtde.]]*Materiais[[#This Row],[Custo Unitário
Sem Tributos (R$)]])</f>
        <v>0</v>
      </c>
      <c r="J373" s="92">
        <v>0</v>
      </c>
      <c r="K373" s="140">
        <f>Materiais[[#This Row],[Custo Total
Sem Tributos (R$)]]*Materiais[[#This Row],[IPI
(%)]]+Materiais[[#This Row],[Custo Total
Sem Tributos (R$)]]</f>
        <v>0</v>
      </c>
      <c r="L373" s="92">
        <v>0.1</v>
      </c>
      <c r="M373" s="76">
        <f>Materiais[[#This Row],[Custo Total
Com IPI (R$)]]/(1-Materiais[[#This Row],[Margem
(%)]])</f>
        <v>0</v>
      </c>
      <c r="N373" s="16">
        <f>Materiais[[#This Row],[Valor Venda c/ Potencial Desconto  em Material (R$)]]-Materiais[[#This Row],[Custo Total
Com IPI (R$)]]</f>
        <v>0</v>
      </c>
      <c r="O373" s="93">
        <f>Materiais[[#This Row],[Valor Total
Com Margem
Sem Tributos   (R$)]]/(1-('Valores Finais'!$C$10))</f>
        <v>0</v>
      </c>
      <c r="P373" s="93">
        <f>Materiais[[#This Row],[Valor Venda c/ Potencial Desconto  em Material (R$)]]/(1-('Valores Finais'!$B$6))</f>
        <v>0</v>
      </c>
      <c r="Q373" s="84">
        <f>'Valores Finais'!$B$10</f>
        <v>0.12</v>
      </c>
      <c r="R373" s="76">
        <f>Materiais[[#This Row],[Valor Venda c/ Comissões (R$)]]/(1-Materiais[[#This Row],[Tributos
(%)]])-Materiais[[#This Row],[Valor Venda c/ Comissões (R$)]]</f>
        <v>0</v>
      </c>
      <c r="S373" s="76">
        <f>Materiais[[#This Row],[Valor Venda c/ Comissões (R$)]]+Materiais[[#This Row],[Tributos
(R$)]]</f>
        <v>0</v>
      </c>
      <c r="T373" s="185"/>
      <c r="U373" s="186">
        <f ca="1">IF(Materiais[[#This Row],[Data Update]] = "",0,IF(_xlfn.DAYS(NOW(),Materiais[[#This Row],[Data Update]])&lt;=0,0,_xlfn.DAYS(NOW(),Materiais[[#This Row],[Data Update]])))</f>
        <v>0</v>
      </c>
    </row>
    <row r="374" spans="1:21" x14ac:dyDescent="0.2">
      <c r="A374" s="46"/>
      <c r="B374" s="46"/>
      <c r="C374" s="46"/>
      <c r="D374" s="46"/>
      <c r="E374" s="46"/>
      <c r="F374" s="138"/>
      <c r="G374" s="129"/>
      <c r="H374" s="180"/>
      <c r="I374" s="5">
        <f>(Materiais[[#This Row],[Qtde.]]*Materiais[[#This Row],[Custo Unitário
Sem Tributos (R$)]])</f>
        <v>0</v>
      </c>
      <c r="J374" s="92">
        <v>0</v>
      </c>
      <c r="K374" s="140">
        <f>Materiais[[#This Row],[Custo Total
Sem Tributos (R$)]]*Materiais[[#This Row],[IPI
(%)]]+Materiais[[#This Row],[Custo Total
Sem Tributos (R$)]]</f>
        <v>0</v>
      </c>
      <c r="L374" s="92">
        <v>0.1</v>
      </c>
      <c r="M374" s="76">
        <f>Materiais[[#This Row],[Custo Total
Com IPI (R$)]]/(1-Materiais[[#This Row],[Margem
(%)]])</f>
        <v>0</v>
      </c>
      <c r="N374" s="16">
        <f>Materiais[[#This Row],[Valor Venda c/ Potencial Desconto  em Material (R$)]]-Materiais[[#This Row],[Custo Total
Com IPI (R$)]]</f>
        <v>0</v>
      </c>
      <c r="O374" s="93">
        <f>Materiais[[#This Row],[Valor Total
Com Margem
Sem Tributos   (R$)]]/(1-('Valores Finais'!$C$10))</f>
        <v>0</v>
      </c>
      <c r="P374" s="93">
        <f>Materiais[[#This Row],[Valor Venda c/ Potencial Desconto  em Material (R$)]]/(1-('Valores Finais'!$B$6))</f>
        <v>0</v>
      </c>
      <c r="Q374" s="84">
        <f>'Valores Finais'!$B$10</f>
        <v>0.12</v>
      </c>
      <c r="R374" s="76">
        <f>Materiais[[#This Row],[Valor Venda c/ Comissões (R$)]]/(1-Materiais[[#This Row],[Tributos
(%)]])-Materiais[[#This Row],[Valor Venda c/ Comissões (R$)]]</f>
        <v>0</v>
      </c>
      <c r="S374" s="76">
        <f>Materiais[[#This Row],[Valor Venda c/ Comissões (R$)]]+Materiais[[#This Row],[Tributos
(R$)]]</f>
        <v>0</v>
      </c>
      <c r="T374" s="185"/>
      <c r="U374" s="186">
        <f ca="1">IF(Materiais[[#This Row],[Data Update]] = "",0,IF(_xlfn.DAYS(NOW(),Materiais[[#This Row],[Data Update]])&lt;=0,0,_xlfn.DAYS(NOW(),Materiais[[#This Row],[Data Update]])))</f>
        <v>0</v>
      </c>
    </row>
    <row r="375" spans="1:21" x14ac:dyDescent="0.2">
      <c r="A375" s="46"/>
      <c r="B375" s="46"/>
      <c r="C375" s="46"/>
      <c r="D375" s="46"/>
      <c r="E375" s="46"/>
      <c r="F375" s="138"/>
      <c r="G375" s="129"/>
      <c r="H375" s="180"/>
      <c r="I375" s="5">
        <f>(Materiais[[#This Row],[Qtde.]]*Materiais[[#This Row],[Custo Unitário
Sem Tributos (R$)]])</f>
        <v>0</v>
      </c>
      <c r="J375" s="92">
        <v>0</v>
      </c>
      <c r="K375" s="140">
        <f>Materiais[[#This Row],[Custo Total
Sem Tributos (R$)]]*Materiais[[#This Row],[IPI
(%)]]+Materiais[[#This Row],[Custo Total
Sem Tributos (R$)]]</f>
        <v>0</v>
      </c>
      <c r="L375" s="92">
        <v>0.1</v>
      </c>
      <c r="M375" s="76">
        <f>Materiais[[#This Row],[Custo Total
Com IPI (R$)]]/(1-Materiais[[#This Row],[Margem
(%)]])</f>
        <v>0</v>
      </c>
      <c r="N375" s="16">
        <f>Materiais[[#This Row],[Valor Venda c/ Potencial Desconto  em Material (R$)]]-Materiais[[#This Row],[Custo Total
Com IPI (R$)]]</f>
        <v>0</v>
      </c>
      <c r="O375" s="93">
        <f>Materiais[[#This Row],[Valor Total
Com Margem
Sem Tributos   (R$)]]/(1-('Valores Finais'!$C$10))</f>
        <v>0</v>
      </c>
      <c r="P375" s="93">
        <f>Materiais[[#This Row],[Valor Venda c/ Potencial Desconto  em Material (R$)]]/(1-('Valores Finais'!$B$6))</f>
        <v>0</v>
      </c>
      <c r="Q375" s="84">
        <f>'Valores Finais'!$B$10</f>
        <v>0.12</v>
      </c>
      <c r="R375" s="76">
        <f>Materiais[[#This Row],[Valor Venda c/ Comissões (R$)]]/(1-Materiais[[#This Row],[Tributos
(%)]])-Materiais[[#This Row],[Valor Venda c/ Comissões (R$)]]</f>
        <v>0</v>
      </c>
      <c r="S375" s="76">
        <f>Materiais[[#This Row],[Valor Venda c/ Comissões (R$)]]+Materiais[[#This Row],[Tributos
(R$)]]</f>
        <v>0</v>
      </c>
      <c r="T375" s="185"/>
      <c r="U375" s="186">
        <f ca="1">IF(Materiais[[#This Row],[Data Update]] = "",0,IF(_xlfn.DAYS(NOW(),Materiais[[#This Row],[Data Update]])&lt;=0,0,_xlfn.DAYS(NOW(),Materiais[[#This Row],[Data Update]])))</f>
        <v>0</v>
      </c>
    </row>
    <row r="376" spans="1:21" x14ac:dyDescent="0.2">
      <c r="A376" s="46"/>
      <c r="B376" s="46"/>
      <c r="C376" s="46"/>
      <c r="D376" s="46"/>
      <c r="E376" s="46"/>
      <c r="F376" s="138"/>
      <c r="G376" s="129"/>
      <c r="H376" s="180"/>
      <c r="I376" s="5">
        <f>(Materiais[[#This Row],[Qtde.]]*Materiais[[#This Row],[Custo Unitário
Sem Tributos (R$)]])</f>
        <v>0</v>
      </c>
      <c r="J376" s="92">
        <v>0</v>
      </c>
      <c r="K376" s="140">
        <f>Materiais[[#This Row],[Custo Total
Sem Tributos (R$)]]*Materiais[[#This Row],[IPI
(%)]]+Materiais[[#This Row],[Custo Total
Sem Tributos (R$)]]</f>
        <v>0</v>
      </c>
      <c r="L376" s="92">
        <v>0.1</v>
      </c>
      <c r="M376" s="76">
        <f>Materiais[[#This Row],[Custo Total
Com IPI (R$)]]/(1-Materiais[[#This Row],[Margem
(%)]])</f>
        <v>0</v>
      </c>
      <c r="N376" s="16">
        <f>Materiais[[#This Row],[Valor Venda c/ Potencial Desconto  em Material (R$)]]-Materiais[[#This Row],[Custo Total
Com IPI (R$)]]</f>
        <v>0</v>
      </c>
      <c r="O376" s="93">
        <f>Materiais[[#This Row],[Valor Total
Com Margem
Sem Tributos   (R$)]]/(1-('Valores Finais'!$C$10))</f>
        <v>0</v>
      </c>
      <c r="P376" s="93">
        <f>Materiais[[#This Row],[Valor Venda c/ Potencial Desconto  em Material (R$)]]/(1-('Valores Finais'!$B$6))</f>
        <v>0</v>
      </c>
      <c r="Q376" s="84">
        <f>'Valores Finais'!$B$10</f>
        <v>0.12</v>
      </c>
      <c r="R376" s="76">
        <f>Materiais[[#This Row],[Valor Venda c/ Comissões (R$)]]/(1-Materiais[[#This Row],[Tributos
(%)]])-Materiais[[#This Row],[Valor Venda c/ Comissões (R$)]]</f>
        <v>0</v>
      </c>
      <c r="S376" s="76">
        <f>Materiais[[#This Row],[Valor Venda c/ Comissões (R$)]]+Materiais[[#This Row],[Tributos
(R$)]]</f>
        <v>0</v>
      </c>
      <c r="T376" s="185"/>
      <c r="U376" s="186">
        <f ca="1">IF(Materiais[[#This Row],[Data Update]] = "",0,IF(_xlfn.DAYS(NOW(),Materiais[[#This Row],[Data Update]])&lt;=0,0,_xlfn.DAYS(NOW(),Materiais[[#This Row],[Data Update]])))</f>
        <v>0</v>
      </c>
    </row>
    <row r="377" spans="1:21" x14ac:dyDescent="0.2">
      <c r="A377" s="46"/>
      <c r="B377" s="46"/>
      <c r="C377" s="46"/>
      <c r="D377" s="46"/>
      <c r="E377" s="46"/>
      <c r="F377" s="138"/>
      <c r="G377" s="129"/>
      <c r="H377" s="180"/>
      <c r="I377" s="5">
        <f>(Materiais[[#This Row],[Qtde.]]*Materiais[[#This Row],[Custo Unitário
Sem Tributos (R$)]])</f>
        <v>0</v>
      </c>
      <c r="J377" s="92">
        <v>0</v>
      </c>
      <c r="K377" s="140">
        <f>Materiais[[#This Row],[Custo Total
Sem Tributos (R$)]]*Materiais[[#This Row],[IPI
(%)]]+Materiais[[#This Row],[Custo Total
Sem Tributos (R$)]]</f>
        <v>0</v>
      </c>
      <c r="L377" s="92">
        <v>0.1</v>
      </c>
      <c r="M377" s="76">
        <f>Materiais[[#This Row],[Custo Total
Com IPI (R$)]]/(1-Materiais[[#This Row],[Margem
(%)]])</f>
        <v>0</v>
      </c>
      <c r="N377" s="16">
        <f>Materiais[[#This Row],[Valor Venda c/ Potencial Desconto  em Material (R$)]]-Materiais[[#This Row],[Custo Total
Com IPI (R$)]]</f>
        <v>0</v>
      </c>
      <c r="O377" s="93">
        <f>Materiais[[#This Row],[Valor Total
Com Margem
Sem Tributos   (R$)]]/(1-('Valores Finais'!$C$10))</f>
        <v>0</v>
      </c>
      <c r="P377" s="93">
        <f>Materiais[[#This Row],[Valor Venda c/ Potencial Desconto  em Material (R$)]]/(1-('Valores Finais'!$B$6))</f>
        <v>0</v>
      </c>
      <c r="Q377" s="84">
        <f>'Valores Finais'!$B$10</f>
        <v>0.12</v>
      </c>
      <c r="R377" s="76">
        <f>Materiais[[#This Row],[Valor Venda c/ Comissões (R$)]]/(1-Materiais[[#This Row],[Tributos
(%)]])-Materiais[[#This Row],[Valor Venda c/ Comissões (R$)]]</f>
        <v>0</v>
      </c>
      <c r="S377" s="76">
        <f>Materiais[[#This Row],[Valor Venda c/ Comissões (R$)]]+Materiais[[#This Row],[Tributos
(R$)]]</f>
        <v>0</v>
      </c>
      <c r="T377" s="185"/>
      <c r="U377" s="186">
        <f ca="1">IF(Materiais[[#This Row],[Data Update]] = "",0,IF(_xlfn.DAYS(NOW(),Materiais[[#This Row],[Data Update]])&lt;=0,0,_xlfn.DAYS(NOW(),Materiais[[#This Row],[Data Update]])))</f>
        <v>0</v>
      </c>
    </row>
    <row r="378" spans="1:21" x14ac:dyDescent="0.2">
      <c r="A378" s="46"/>
      <c r="B378" s="46"/>
      <c r="C378" s="46"/>
      <c r="D378" s="46"/>
      <c r="E378" s="46"/>
      <c r="F378" s="138"/>
      <c r="G378" s="129"/>
      <c r="H378" s="180"/>
      <c r="I378" s="5">
        <f>(Materiais[[#This Row],[Qtde.]]*Materiais[[#This Row],[Custo Unitário
Sem Tributos (R$)]])</f>
        <v>0</v>
      </c>
      <c r="J378" s="92">
        <v>0</v>
      </c>
      <c r="K378" s="140">
        <f>Materiais[[#This Row],[Custo Total
Sem Tributos (R$)]]*Materiais[[#This Row],[IPI
(%)]]+Materiais[[#This Row],[Custo Total
Sem Tributos (R$)]]</f>
        <v>0</v>
      </c>
      <c r="L378" s="92">
        <v>0.1</v>
      </c>
      <c r="M378" s="76">
        <f>Materiais[[#This Row],[Custo Total
Com IPI (R$)]]/(1-Materiais[[#This Row],[Margem
(%)]])</f>
        <v>0</v>
      </c>
      <c r="N378" s="16">
        <f>Materiais[[#This Row],[Valor Venda c/ Potencial Desconto  em Material (R$)]]-Materiais[[#This Row],[Custo Total
Com IPI (R$)]]</f>
        <v>0</v>
      </c>
      <c r="O378" s="93">
        <f>Materiais[[#This Row],[Valor Total
Com Margem
Sem Tributos   (R$)]]/(1-('Valores Finais'!$C$10))</f>
        <v>0</v>
      </c>
      <c r="P378" s="93">
        <f>Materiais[[#This Row],[Valor Venda c/ Potencial Desconto  em Material (R$)]]/(1-('Valores Finais'!$B$6))</f>
        <v>0</v>
      </c>
      <c r="Q378" s="84">
        <f>'Valores Finais'!$B$10</f>
        <v>0.12</v>
      </c>
      <c r="R378" s="76">
        <f>Materiais[[#This Row],[Valor Venda c/ Comissões (R$)]]/(1-Materiais[[#This Row],[Tributos
(%)]])-Materiais[[#This Row],[Valor Venda c/ Comissões (R$)]]</f>
        <v>0</v>
      </c>
      <c r="S378" s="76">
        <f>Materiais[[#This Row],[Valor Venda c/ Comissões (R$)]]+Materiais[[#This Row],[Tributos
(R$)]]</f>
        <v>0</v>
      </c>
      <c r="T378" s="185"/>
      <c r="U378" s="186">
        <f ca="1">IF(Materiais[[#This Row],[Data Update]] = "",0,IF(_xlfn.DAYS(NOW(),Materiais[[#This Row],[Data Update]])&lt;=0,0,_xlfn.DAYS(NOW(),Materiais[[#This Row],[Data Update]])))</f>
        <v>0</v>
      </c>
    </row>
    <row r="379" spans="1:21" x14ac:dyDescent="0.2">
      <c r="A379" s="46"/>
      <c r="B379" s="46"/>
      <c r="C379" s="46"/>
      <c r="D379" s="46"/>
      <c r="E379" s="46"/>
      <c r="F379" s="138"/>
      <c r="G379" s="129"/>
      <c r="H379" s="180"/>
      <c r="I379" s="5">
        <f>(Materiais[[#This Row],[Qtde.]]*Materiais[[#This Row],[Custo Unitário
Sem Tributos (R$)]])</f>
        <v>0</v>
      </c>
      <c r="J379" s="92">
        <v>0</v>
      </c>
      <c r="K379" s="140">
        <f>Materiais[[#This Row],[Custo Total
Sem Tributos (R$)]]*Materiais[[#This Row],[IPI
(%)]]+Materiais[[#This Row],[Custo Total
Sem Tributos (R$)]]</f>
        <v>0</v>
      </c>
      <c r="L379" s="92">
        <v>0.1</v>
      </c>
      <c r="M379" s="76">
        <f>Materiais[[#This Row],[Custo Total
Com IPI (R$)]]/(1-Materiais[[#This Row],[Margem
(%)]])</f>
        <v>0</v>
      </c>
      <c r="N379" s="16">
        <f>Materiais[[#This Row],[Valor Venda c/ Potencial Desconto  em Material (R$)]]-Materiais[[#This Row],[Custo Total
Com IPI (R$)]]</f>
        <v>0</v>
      </c>
      <c r="O379" s="93">
        <f>Materiais[[#This Row],[Valor Total
Com Margem
Sem Tributos   (R$)]]/(1-('Valores Finais'!$C$10))</f>
        <v>0</v>
      </c>
      <c r="P379" s="93">
        <f>Materiais[[#This Row],[Valor Venda c/ Potencial Desconto  em Material (R$)]]/(1-('Valores Finais'!$B$6))</f>
        <v>0</v>
      </c>
      <c r="Q379" s="84">
        <f>'Valores Finais'!$B$10</f>
        <v>0.12</v>
      </c>
      <c r="R379" s="76">
        <f>Materiais[[#This Row],[Valor Venda c/ Comissões (R$)]]/(1-Materiais[[#This Row],[Tributos
(%)]])-Materiais[[#This Row],[Valor Venda c/ Comissões (R$)]]</f>
        <v>0</v>
      </c>
      <c r="S379" s="76">
        <f>Materiais[[#This Row],[Valor Venda c/ Comissões (R$)]]+Materiais[[#This Row],[Tributos
(R$)]]</f>
        <v>0</v>
      </c>
      <c r="T379" s="185"/>
      <c r="U379" s="186">
        <f ca="1">IF(Materiais[[#This Row],[Data Update]] = "",0,IF(_xlfn.DAYS(NOW(),Materiais[[#This Row],[Data Update]])&lt;=0,0,_xlfn.DAYS(NOW(),Materiais[[#This Row],[Data Update]])))</f>
        <v>0</v>
      </c>
    </row>
    <row r="380" spans="1:21" x14ac:dyDescent="0.2">
      <c r="A380" s="46"/>
      <c r="B380" s="46"/>
      <c r="C380" s="46"/>
      <c r="D380" s="46"/>
      <c r="E380" s="46"/>
      <c r="F380" s="138"/>
      <c r="G380" s="129"/>
      <c r="H380" s="180"/>
      <c r="I380" s="5">
        <f>(Materiais[[#This Row],[Qtde.]]*Materiais[[#This Row],[Custo Unitário
Sem Tributos (R$)]])</f>
        <v>0</v>
      </c>
      <c r="J380" s="92">
        <v>0</v>
      </c>
      <c r="K380" s="140">
        <f>Materiais[[#This Row],[Custo Total
Sem Tributos (R$)]]*Materiais[[#This Row],[IPI
(%)]]+Materiais[[#This Row],[Custo Total
Sem Tributos (R$)]]</f>
        <v>0</v>
      </c>
      <c r="L380" s="92">
        <v>0.1</v>
      </c>
      <c r="M380" s="76">
        <f>Materiais[[#This Row],[Custo Total
Com IPI (R$)]]/(1-Materiais[[#This Row],[Margem
(%)]])</f>
        <v>0</v>
      </c>
      <c r="N380" s="16">
        <f>Materiais[[#This Row],[Valor Venda c/ Potencial Desconto  em Material (R$)]]-Materiais[[#This Row],[Custo Total
Com IPI (R$)]]</f>
        <v>0</v>
      </c>
      <c r="O380" s="93">
        <f>Materiais[[#This Row],[Valor Total
Com Margem
Sem Tributos   (R$)]]/(1-('Valores Finais'!$C$10))</f>
        <v>0</v>
      </c>
      <c r="P380" s="93">
        <f>Materiais[[#This Row],[Valor Venda c/ Potencial Desconto  em Material (R$)]]/(1-('Valores Finais'!$B$6))</f>
        <v>0</v>
      </c>
      <c r="Q380" s="84">
        <f>'Valores Finais'!$B$10</f>
        <v>0.12</v>
      </c>
      <c r="R380" s="76">
        <f>Materiais[[#This Row],[Valor Venda c/ Comissões (R$)]]/(1-Materiais[[#This Row],[Tributos
(%)]])-Materiais[[#This Row],[Valor Venda c/ Comissões (R$)]]</f>
        <v>0</v>
      </c>
      <c r="S380" s="76">
        <f>Materiais[[#This Row],[Valor Venda c/ Comissões (R$)]]+Materiais[[#This Row],[Tributos
(R$)]]</f>
        <v>0</v>
      </c>
      <c r="T380" s="185"/>
      <c r="U380" s="186">
        <f ca="1">IF(Materiais[[#This Row],[Data Update]] = "",0,IF(_xlfn.DAYS(NOW(),Materiais[[#This Row],[Data Update]])&lt;=0,0,_xlfn.DAYS(NOW(),Materiais[[#This Row],[Data Update]])))</f>
        <v>0</v>
      </c>
    </row>
    <row r="381" spans="1:21" x14ac:dyDescent="0.2">
      <c r="A381" s="46"/>
      <c r="B381" s="46"/>
      <c r="C381" s="46"/>
      <c r="D381" s="46"/>
      <c r="E381" s="46"/>
      <c r="F381" s="138"/>
      <c r="G381" s="129"/>
      <c r="H381" s="180"/>
      <c r="I381" s="5">
        <f>(Materiais[[#This Row],[Qtde.]]*Materiais[[#This Row],[Custo Unitário
Sem Tributos (R$)]])</f>
        <v>0</v>
      </c>
      <c r="J381" s="92">
        <v>0</v>
      </c>
      <c r="K381" s="140">
        <f>Materiais[[#This Row],[Custo Total
Sem Tributos (R$)]]*Materiais[[#This Row],[IPI
(%)]]+Materiais[[#This Row],[Custo Total
Sem Tributos (R$)]]</f>
        <v>0</v>
      </c>
      <c r="L381" s="92">
        <v>0.1</v>
      </c>
      <c r="M381" s="76">
        <f>Materiais[[#This Row],[Custo Total
Com IPI (R$)]]/(1-Materiais[[#This Row],[Margem
(%)]])</f>
        <v>0</v>
      </c>
      <c r="N381" s="16">
        <f>Materiais[[#This Row],[Valor Venda c/ Potencial Desconto  em Material (R$)]]-Materiais[[#This Row],[Custo Total
Com IPI (R$)]]</f>
        <v>0</v>
      </c>
      <c r="O381" s="93">
        <f>Materiais[[#This Row],[Valor Total
Com Margem
Sem Tributos   (R$)]]/(1-('Valores Finais'!$C$10))</f>
        <v>0</v>
      </c>
      <c r="P381" s="93">
        <f>Materiais[[#This Row],[Valor Venda c/ Potencial Desconto  em Material (R$)]]/(1-('Valores Finais'!$B$6))</f>
        <v>0</v>
      </c>
      <c r="Q381" s="84">
        <f>'Valores Finais'!$B$10</f>
        <v>0.12</v>
      </c>
      <c r="R381" s="76">
        <f>Materiais[[#This Row],[Valor Venda c/ Comissões (R$)]]/(1-Materiais[[#This Row],[Tributos
(%)]])-Materiais[[#This Row],[Valor Venda c/ Comissões (R$)]]</f>
        <v>0</v>
      </c>
      <c r="S381" s="76">
        <f>Materiais[[#This Row],[Valor Venda c/ Comissões (R$)]]+Materiais[[#This Row],[Tributos
(R$)]]</f>
        <v>0</v>
      </c>
      <c r="T381" s="185"/>
      <c r="U381" s="186">
        <f ca="1">IF(Materiais[[#This Row],[Data Update]] = "",0,IF(_xlfn.DAYS(NOW(),Materiais[[#This Row],[Data Update]])&lt;=0,0,_xlfn.DAYS(NOW(),Materiais[[#This Row],[Data Update]])))</f>
        <v>0</v>
      </c>
    </row>
    <row r="382" spans="1:21" x14ac:dyDescent="0.2">
      <c r="A382" s="46"/>
      <c r="B382" s="46"/>
      <c r="C382" s="46"/>
      <c r="D382" s="46"/>
      <c r="E382" s="46"/>
      <c r="F382" s="138"/>
      <c r="G382" s="129"/>
      <c r="H382" s="180"/>
      <c r="I382" s="5">
        <f>(Materiais[[#This Row],[Qtde.]]*Materiais[[#This Row],[Custo Unitário
Sem Tributos (R$)]])</f>
        <v>0</v>
      </c>
      <c r="J382" s="92">
        <v>0</v>
      </c>
      <c r="K382" s="140">
        <f>Materiais[[#This Row],[Custo Total
Sem Tributos (R$)]]*Materiais[[#This Row],[IPI
(%)]]+Materiais[[#This Row],[Custo Total
Sem Tributos (R$)]]</f>
        <v>0</v>
      </c>
      <c r="L382" s="92">
        <v>0.1</v>
      </c>
      <c r="M382" s="76">
        <f>Materiais[[#This Row],[Custo Total
Com IPI (R$)]]/(1-Materiais[[#This Row],[Margem
(%)]])</f>
        <v>0</v>
      </c>
      <c r="N382" s="16">
        <f>Materiais[[#This Row],[Valor Venda c/ Potencial Desconto  em Material (R$)]]-Materiais[[#This Row],[Custo Total
Com IPI (R$)]]</f>
        <v>0</v>
      </c>
      <c r="O382" s="93">
        <f>Materiais[[#This Row],[Valor Total
Com Margem
Sem Tributos   (R$)]]/(1-('Valores Finais'!$C$10))</f>
        <v>0</v>
      </c>
      <c r="P382" s="93">
        <f>Materiais[[#This Row],[Valor Venda c/ Potencial Desconto  em Material (R$)]]/(1-('Valores Finais'!$B$6))</f>
        <v>0</v>
      </c>
      <c r="Q382" s="84">
        <f>'Valores Finais'!$B$10</f>
        <v>0.12</v>
      </c>
      <c r="R382" s="76">
        <f>Materiais[[#This Row],[Valor Venda c/ Comissões (R$)]]/(1-Materiais[[#This Row],[Tributos
(%)]])-Materiais[[#This Row],[Valor Venda c/ Comissões (R$)]]</f>
        <v>0</v>
      </c>
      <c r="S382" s="76">
        <f>Materiais[[#This Row],[Valor Venda c/ Comissões (R$)]]+Materiais[[#This Row],[Tributos
(R$)]]</f>
        <v>0</v>
      </c>
      <c r="T382" s="185"/>
      <c r="U382" s="186">
        <f ca="1">IF(Materiais[[#This Row],[Data Update]] = "",0,IF(_xlfn.DAYS(NOW(),Materiais[[#This Row],[Data Update]])&lt;=0,0,_xlfn.DAYS(NOW(),Materiais[[#This Row],[Data Update]])))</f>
        <v>0</v>
      </c>
    </row>
    <row r="383" spans="1:21" x14ac:dyDescent="0.2">
      <c r="A383" s="46"/>
      <c r="B383" s="46"/>
      <c r="C383" s="46"/>
      <c r="D383" s="46"/>
      <c r="E383" s="46"/>
      <c r="F383" s="138"/>
      <c r="G383" s="129"/>
      <c r="H383" s="180"/>
      <c r="I383" s="5">
        <f>(Materiais[[#This Row],[Qtde.]]*Materiais[[#This Row],[Custo Unitário
Sem Tributos (R$)]])</f>
        <v>0</v>
      </c>
      <c r="J383" s="92">
        <v>0</v>
      </c>
      <c r="K383" s="140">
        <f>Materiais[[#This Row],[Custo Total
Sem Tributos (R$)]]*Materiais[[#This Row],[IPI
(%)]]+Materiais[[#This Row],[Custo Total
Sem Tributos (R$)]]</f>
        <v>0</v>
      </c>
      <c r="L383" s="92">
        <v>0.1</v>
      </c>
      <c r="M383" s="76">
        <f>Materiais[[#This Row],[Custo Total
Com IPI (R$)]]/(1-Materiais[[#This Row],[Margem
(%)]])</f>
        <v>0</v>
      </c>
      <c r="N383" s="16">
        <f>Materiais[[#This Row],[Valor Venda c/ Potencial Desconto  em Material (R$)]]-Materiais[[#This Row],[Custo Total
Com IPI (R$)]]</f>
        <v>0</v>
      </c>
      <c r="O383" s="93">
        <f>Materiais[[#This Row],[Valor Total
Com Margem
Sem Tributos   (R$)]]/(1-('Valores Finais'!$C$10))</f>
        <v>0</v>
      </c>
      <c r="P383" s="93">
        <f>Materiais[[#This Row],[Valor Venda c/ Potencial Desconto  em Material (R$)]]/(1-('Valores Finais'!$B$6))</f>
        <v>0</v>
      </c>
      <c r="Q383" s="84">
        <f>'Valores Finais'!$B$10</f>
        <v>0.12</v>
      </c>
      <c r="R383" s="76">
        <f>Materiais[[#This Row],[Valor Venda c/ Comissões (R$)]]/(1-Materiais[[#This Row],[Tributos
(%)]])-Materiais[[#This Row],[Valor Venda c/ Comissões (R$)]]</f>
        <v>0</v>
      </c>
      <c r="S383" s="76">
        <f>Materiais[[#This Row],[Valor Venda c/ Comissões (R$)]]+Materiais[[#This Row],[Tributos
(R$)]]</f>
        <v>0</v>
      </c>
      <c r="T383" s="185"/>
      <c r="U383" s="186">
        <f ca="1">IF(Materiais[[#This Row],[Data Update]] = "",0,IF(_xlfn.DAYS(NOW(),Materiais[[#This Row],[Data Update]])&lt;=0,0,_xlfn.DAYS(NOW(),Materiais[[#This Row],[Data Update]])))</f>
        <v>0</v>
      </c>
    </row>
    <row r="384" spans="1:21" x14ac:dyDescent="0.2">
      <c r="A384" s="46"/>
      <c r="B384" s="46"/>
      <c r="C384" s="46"/>
      <c r="D384" s="46"/>
      <c r="E384" s="46"/>
      <c r="F384" s="138"/>
      <c r="G384" s="129"/>
      <c r="H384" s="180"/>
      <c r="I384" s="5">
        <f>(Materiais[[#This Row],[Qtde.]]*Materiais[[#This Row],[Custo Unitário
Sem Tributos (R$)]])</f>
        <v>0</v>
      </c>
      <c r="J384" s="92">
        <v>0</v>
      </c>
      <c r="K384" s="140">
        <f>Materiais[[#This Row],[Custo Total
Sem Tributos (R$)]]*Materiais[[#This Row],[IPI
(%)]]+Materiais[[#This Row],[Custo Total
Sem Tributos (R$)]]</f>
        <v>0</v>
      </c>
      <c r="L384" s="92">
        <v>0.1</v>
      </c>
      <c r="M384" s="76">
        <f>Materiais[[#This Row],[Custo Total
Com IPI (R$)]]/(1-Materiais[[#This Row],[Margem
(%)]])</f>
        <v>0</v>
      </c>
      <c r="N384" s="16">
        <f>Materiais[[#This Row],[Valor Venda c/ Potencial Desconto  em Material (R$)]]-Materiais[[#This Row],[Custo Total
Com IPI (R$)]]</f>
        <v>0</v>
      </c>
      <c r="O384" s="93">
        <f>Materiais[[#This Row],[Valor Total
Com Margem
Sem Tributos   (R$)]]/(1-('Valores Finais'!$C$10))</f>
        <v>0</v>
      </c>
      <c r="P384" s="93">
        <f>Materiais[[#This Row],[Valor Venda c/ Potencial Desconto  em Material (R$)]]/(1-('Valores Finais'!$B$6))</f>
        <v>0</v>
      </c>
      <c r="Q384" s="84">
        <f>'Valores Finais'!$B$10</f>
        <v>0.12</v>
      </c>
      <c r="R384" s="76">
        <f>Materiais[[#This Row],[Valor Venda c/ Comissões (R$)]]/(1-Materiais[[#This Row],[Tributos
(%)]])-Materiais[[#This Row],[Valor Venda c/ Comissões (R$)]]</f>
        <v>0</v>
      </c>
      <c r="S384" s="76">
        <f>Materiais[[#This Row],[Valor Venda c/ Comissões (R$)]]+Materiais[[#This Row],[Tributos
(R$)]]</f>
        <v>0</v>
      </c>
      <c r="T384" s="185"/>
      <c r="U384" s="186">
        <f ca="1">IF(Materiais[[#This Row],[Data Update]] = "",0,IF(_xlfn.DAYS(NOW(),Materiais[[#This Row],[Data Update]])&lt;=0,0,_xlfn.DAYS(NOW(),Materiais[[#This Row],[Data Update]])))</f>
        <v>0</v>
      </c>
    </row>
    <row r="385" spans="1:21" x14ac:dyDescent="0.2">
      <c r="A385" s="46"/>
      <c r="B385" s="46"/>
      <c r="C385" s="46"/>
      <c r="D385" s="46"/>
      <c r="E385" s="46"/>
      <c r="F385" s="138"/>
      <c r="G385" s="129"/>
      <c r="H385" s="180"/>
      <c r="I385" s="5">
        <f>(Materiais[[#This Row],[Qtde.]]*Materiais[[#This Row],[Custo Unitário
Sem Tributos (R$)]])</f>
        <v>0</v>
      </c>
      <c r="J385" s="92">
        <v>0</v>
      </c>
      <c r="K385" s="140">
        <f>Materiais[[#This Row],[Custo Total
Sem Tributos (R$)]]*Materiais[[#This Row],[IPI
(%)]]+Materiais[[#This Row],[Custo Total
Sem Tributos (R$)]]</f>
        <v>0</v>
      </c>
      <c r="L385" s="92">
        <v>0.1</v>
      </c>
      <c r="M385" s="76">
        <f>Materiais[[#This Row],[Custo Total
Com IPI (R$)]]/(1-Materiais[[#This Row],[Margem
(%)]])</f>
        <v>0</v>
      </c>
      <c r="N385" s="16">
        <f>Materiais[[#This Row],[Valor Venda c/ Potencial Desconto  em Material (R$)]]-Materiais[[#This Row],[Custo Total
Com IPI (R$)]]</f>
        <v>0</v>
      </c>
      <c r="O385" s="93">
        <f>Materiais[[#This Row],[Valor Total
Com Margem
Sem Tributos   (R$)]]/(1-('Valores Finais'!$C$10))</f>
        <v>0</v>
      </c>
      <c r="P385" s="93">
        <f>Materiais[[#This Row],[Valor Venda c/ Potencial Desconto  em Material (R$)]]/(1-('Valores Finais'!$B$6))</f>
        <v>0</v>
      </c>
      <c r="Q385" s="84">
        <f>'Valores Finais'!$B$10</f>
        <v>0.12</v>
      </c>
      <c r="R385" s="76">
        <f>Materiais[[#This Row],[Valor Venda c/ Comissões (R$)]]/(1-Materiais[[#This Row],[Tributos
(%)]])-Materiais[[#This Row],[Valor Venda c/ Comissões (R$)]]</f>
        <v>0</v>
      </c>
      <c r="S385" s="76">
        <f>Materiais[[#This Row],[Valor Venda c/ Comissões (R$)]]+Materiais[[#This Row],[Tributos
(R$)]]</f>
        <v>0</v>
      </c>
      <c r="T385" s="185"/>
      <c r="U385" s="186">
        <f ca="1">IF(Materiais[[#This Row],[Data Update]] = "",0,IF(_xlfn.DAYS(NOW(),Materiais[[#This Row],[Data Update]])&lt;=0,0,_xlfn.DAYS(NOW(),Materiais[[#This Row],[Data Update]])))</f>
        <v>0</v>
      </c>
    </row>
    <row r="386" spans="1:21" x14ac:dyDescent="0.2">
      <c r="A386" s="46"/>
      <c r="B386" s="46"/>
      <c r="C386" s="46"/>
      <c r="D386" s="46"/>
      <c r="E386" s="46"/>
      <c r="F386" s="138"/>
      <c r="G386" s="129"/>
      <c r="H386" s="180"/>
      <c r="I386" s="5">
        <f>(Materiais[[#This Row],[Qtde.]]*Materiais[[#This Row],[Custo Unitário
Sem Tributos (R$)]])</f>
        <v>0</v>
      </c>
      <c r="J386" s="92">
        <v>0</v>
      </c>
      <c r="K386" s="140">
        <f>Materiais[[#This Row],[Custo Total
Sem Tributos (R$)]]*Materiais[[#This Row],[IPI
(%)]]+Materiais[[#This Row],[Custo Total
Sem Tributos (R$)]]</f>
        <v>0</v>
      </c>
      <c r="L386" s="92">
        <v>0.1</v>
      </c>
      <c r="M386" s="76">
        <f>Materiais[[#This Row],[Custo Total
Com IPI (R$)]]/(1-Materiais[[#This Row],[Margem
(%)]])</f>
        <v>0</v>
      </c>
      <c r="N386" s="16">
        <f>Materiais[[#This Row],[Valor Venda c/ Potencial Desconto  em Material (R$)]]-Materiais[[#This Row],[Custo Total
Com IPI (R$)]]</f>
        <v>0</v>
      </c>
      <c r="O386" s="93">
        <f>Materiais[[#This Row],[Valor Total
Com Margem
Sem Tributos   (R$)]]/(1-('Valores Finais'!$C$10))</f>
        <v>0</v>
      </c>
      <c r="P386" s="93">
        <f>Materiais[[#This Row],[Valor Venda c/ Potencial Desconto  em Material (R$)]]/(1-('Valores Finais'!$B$6))</f>
        <v>0</v>
      </c>
      <c r="Q386" s="84">
        <f>'Valores Finais'!$B$10</f>
        <v>0.12</v>
      </c>
      <c r="R386" s="76">
        <f>Materiais[[#This Row],[Valor Venda c/ Comissões (R$)]]/(1-Materiais[[#This Row],[Tributos
(%)]])-Materiais[[#This Row],[Valor Venda c/ Comissões (R$)]]</f>
        <v>0</v>
      </c>
      <c r="S386" s="76">
        <f>Materiais[[#This Row],[Valor Venda c/ Comissões (R$)]]+Materiais[[#This Row],[Tributos
(R$)]]</f>
        <v>0</v>
      </c>
      <c r="T386" s="185"/>
      <c r="U386" s="186">
        <f ca="1">IF(Materiais[[#This Row],[Data Update]] = "",0,IF(_xlfn.DAYS(NOW(),Materiais[[#This Row],[Data Update]])&lt;=0,0,_xlfn.DAYS(NOW(),Materiais[[#This Row],[Data Update]])))</f>
        <v>0</v>
      </c>
    </row>
    <row r="387" spans="1:21" x14ac:dyDescent="0.2">
      <c r="A387" s="46"/>
      <c r="B387" s="46"/>
      <c r="C387" s="46"/>
      <c r="D387" s="46"/>
      <c r="E387" s="46"/>
      <c r="F387" s="138"/>
      <c r="G387" s="129"/>
      <c r="H387" s="180"/>
      <c r="I387" s="5">
        <f>(Materiais[[#This Row],[Qtde.]]*Materiais[[#This Row],[Custo Unitário
Sem Tributos (R$)]])</f>
        <v>0</v>
      </c>
      <c r="J387" s="92">
        <v>0</v>
      </c>
      <c r="K387" s="140">
        <f>Materiais[[#This Row],[Custo Total
Sem Tributos (R$)]]*Materiais[[#This Row],[IPI
(%)]]+Materiais[[#This Row],[Custo Total
Sem Tributos (R$)]]</f>
        <v>0</v>
      </c>
      <c r="L387" s="92">
        <v>0.1</v>
      </c>
      <c r="M387" s="76">
        <f>Materiais[[#This Row],[Custo Total
Com IPI (R$)]]/(1-Materiais[[#This Row],[Margem
(%)]])</f>
        <v>0</v>
      </c>
      <c r="N387" s="16">
        <f>Materiais[[#This Row],[Valor Venda c/ Potencial Desconto  em Material (R$)]]-Materiais[[#This Row],[Custo Total
Com IPI (R$)]]</f>
        <v>0</v>
      </c>
      <c r="O387" s="93">
        <f>Materiais[[#This Row],[Valor Total
Com Margem
Sem Tributos   (R$)]]/(1-('Valores Finais'!$C$10))</f>
        <v>0</v>
      </c>
      <c r="P387" s="93">
        <f>Materiais[[#This Row],[Valor Venda c/ Potencial Desconto  em Material (R$)]]/(1-('Valores Finais'!$B$6))</f>
        <v>0</v>
      </c>
      <c r="Q387" s="84">
        <f>'Valores Finais'!$B$10</f>
        <v>0.12</v>
      </c>
      <c r="R387" s="76">
        <f>Materiais[[#This Row],[Valor Venda c/ Comissões (R$)]]/(1-Materiais[[#This Row],[Tributos
(%)]])-Materiais[[#This Row],[Valor Venda c/ Comissões (R$)]]</f>
        <v>0</v>
      </c>
      <c r="S387" s="76">
        <f>Materiais[[#This Row],[Valor Venda c/ Comissões (R$)]]+Materiais[[#This Row],[Tributos
(R$)]]</f>
        <v>0</v>
      </c>
      <c r="T387" s="185"/>
      <c r="U387" s="186">
        <f ca="1">IF(Materiais[[#This Row],[Data Update]] = "",0,IF(_xlfn.DAYS(NOW(),Materiais[[#This Row],[Data Update]])&lt;=0,0,_xlfn.DAYS(NOW(),Materiais[[#This Row],[Data Update]])))</f>
        <v>0</v>
      </c>
    </row>
    <row r="388" spans="1:21" x14ac:dyDescent="0.2">
      <c r="A388" s="46"/>
      <c r="B388" s="46"/>
      <c r="C388" s="46"/>
      <c r="D388" s="46"/>
      <c r="E388" s="46"/>
      <c r="F388" s="138"/>
      <c r="G388" s="129"/>
      <c r="H388" s="180"/>
      <c r="I388" s="5">
        <f>(Materiais[[#This Row],[Qtde.]]*Materiais[[#This Row],[Custo Unitário
Sem Tributos (R$)]])</f>
        <v>0</v>
      </c>
      <c r="J388" s="92">
        <v>0</v>
      </c>
      <c r="K388" s="140">
        <f>Materiais[[#This Row],[Custo Total
Sem Tributos (R$)]]*Materiais[[#This Row],[IPI
(%)]]+Materiais[[#This Row],[Custo Total
Sem Tributos (R$)]]</f>
        <v>0</v>
      </c>
      <c r="L388" s="92">
        <v>0.1</v>
      </c>
      <c r="M388" s="76">
        <f>Materiais[[#This Row],[Custo Total
Com IPI (R$)]]/(1-Materiais[[#This Row],[Margem
(%)]])</f>
        <v>0</v>
      </c>
      <c r="N388" s="16">
        <f>Materiais[[#This Row],[Valor Venda c/ Potencial Desconto  em Material (R$)]]-Materiais[[#This Row],[Custo Total
Com IPI (R$)]]</f>
        <v>0</v>
      </c>
      <c r="O388" s="93">
        <f>Materiais[[#This Row],[Valor Total
Com Margem
Sem Tributos   (R$)]]/(1-('Valores Finais'!$C$10))</f>
        <v>0</v>
      </c>
      <c r="P388" s="93">
        <f>Materiais[[#This Row],[Valor Venda c/ Potencial Desconto  em Material (R$)]]/(1-('Valores Finais'!$B$6))</f>
        <v>0</v>
      </c>
      <c r="Q388" s="84">
        <f>'Valores Finais'!$B$10</f>
        <v>0.12</v>
      </c>
      <c r="R388" s="76">
        <f>Materiais[[#This Row],[Valor Venda c/ Comissões (R$)]]/(1-Materiais[[#This Row],[Tributos
(%)]])-Materiais[[#This Row],[Valor Venda c/ Comissões (R$)]]</f>
        <v>0</v>
      </c>
      <c r="S388" s="76">
        <f>Materiais[[#This Row],[Valor Venda c/ Comissões (R$)]]+Materiais[[#This Row],[Tributos
(R$)]]</f>
        <v>0</v>
      </c>
      <c r="T388" s="185"/>
      <c r="U388" s="186">
        <f ca="1">IF(Materiais[[#This Row],[Data Update]] = "",0,IF(_xlfn.DAYS(NOW(),Materiais[[#This Row],[Data Update]])&lt;=0,0,_xlfn.DAYS(NOW(),Materiais[[#This Row],[Data Update]])))</f>
        <v>0</v>
      </c>
    </row>
    <row r="389" spans="1:21" x14ac:dyDescent="0.2">
      <c r="A389" s="46"/>
      <c r="B389" s="46"/>
      <c r="C389" s="46"/>
      <c r="D389" s="46"/>
      <c r="E389" s="46"/>
      <c r="F389" s="138"/>
      <c r="G389" s="129"/>
      <c r="H389" s="180"/>
      <c r="I389" s="5">
        <f>(Materiais[[#This Row],[Qtde.]]*Materiais[[#This Row],[Custo Unitário
Sem Tributos (R$)]])</f>
        <v>0</v>
      </c>
      <c r="J389" s="92">
        <v>0</v>
      </c>
      <c r="K389" s="140">
        <f>Materiais[[#This Row],[Custo Total
Sem Tributos (R$)]]*Materiais[[#This Row],[IPI
(%)]]+Materiais[[#This Row],[Custo Total
Sem Tributos (R$)]]</f>
        <v>0</v>
      </c>
      <c r="L389" s="92">
        <v>0.1</v>
      </c>
      <c r="M389" s="76">
        <f>Materiais[[#This Row],[Custo Total
Com IPI (R$)]]/(1-Materiais[[#This Row],[Margem
(%)]])</f>
        <v>0</v>
      </c>
      <c r="N389" s="16">
        <f>Materiais[[#This Row],[Valor Venda c/ Potencial Desconto  em Material (R$)]]-Materiais[[#This Row],[Custo Total
Com IPI (R$)]]</f>
        <v>0</v>
      </c>
      <c r="O389" s="93">
        <f>Materiais[[#This Row],[Valor Total
Com Margem
Sem Tributos   (R$)]]/(1-('Valores Finais'!$C$10))</f>
        <v>0</v>
      </c>
      <c r="P389" s="93">
        <f>Materiais[[#This Row],[Valor Venda c/ Potencial Desconto  em Material (R$)]]/(1-('Valores Finais'!$B$6))</f>
        <v>0</v>
      </c>
      <c r="Q389" s="84">
        <f>'Valores Finais'!$B$10</f>
        <v>0.12</v>
      </c>
      <c r="R389" s="76">
        <f>Materiais[[#This Row],[Valor Venda c/ Comissões (R$)]]/(1-Materiais[[#This Row],[Tributos
(%)]])-Materiais[[#This Row],[Valor Venda c/ Comissões (R$)]]</f>
        <v>0</v>
      </c>
      <c r="S389" s="76">
        <f>Materiais[[#This Row],[Valor Venda c/ Comissões (R$)]]+Materiais[[#This Row],[Tributos
(R$)]]</f>
        <v>0</v>
      </c>
      <c r="T389" s="185"/>
      <c r="U389" s="186">
        <f ca="1">IF(Materiais[[#This Row],[Data Update]] = "",0,IF(_xlfn.DAYS(NOW(),Materiais[[#This Row],[Data Update]])&lt;=0,0,_xlfn.DAYS(NOW(),Materiais[[#This Row],[Data Update]])))</f>
        <v>0</v>
      </c>
    </row>
    <row r="390" spans="1:21" x14ac:dyDescent="0.2">
      <c r="A390" s="46"/>
      <c r="B390" s="46"/>
      <c r="C390" s="46"/>
      <c r="D390" s="46"/>
      <c r="E390" s="46"/>
      <c r="F390" s="138"/>
      <c r="G390" s="129"/>
      <c r="H390" s="180"/>
      <c r="I390" s="5">
        <f>(Materiais[[#This Row],[Qtde.]]*Materiais[[#This Row],[Custo Unitário
Sem Tributos (R$)]])</f>
        <v>0</v>
      </c>
      <c r="J390" s="92">
        <v>0</v>
      </c>
      <c r="K390" s="140">
        <f>Materiais[[#This Row],[Custo Total
Sem Tributos (R$)]]*Materiais[[#This Row],[IPI
(%)]]+Materiais[[#This Row],[Custo Total
Sem Tributos (R$)]]</f>
        <v>0</v>
      </c>
      <c r="L390" s="92">
        <v>0.1</v>
      </c>
      <c r="M390" s="76">
        <f>Materiais[[#This Row],[Custo Total
Com IPI (R$)]]/(1-Materiais[[#This Row],[Margem
(%)]])</f>
        <v>0</v>
      </c>
      <c r="N390" s="16">
        <f>Materiais[[#This Row],[Valor Venda c/ Potencial Desconto  em Material (R$)]]-Materiais[[#This Row],[Custo Total
Com IPI (R$)]]</f>
        <v>0</v>
      </c>
      <c r="O390" s="93">
        <f>Materiais[[#This Row],[Valor Total
Com Margem
Sem Tributos   (R$)]]/(1-('Valores Finais'!$C$10))</f>
        <v>0</v>
      </c>
      <c r="P390" s="93">
        <f>Materiais[[#This Row],[Valor Venda c/ Potencial Desconto  em Material (R$)]]/(1-('Valores Finais'!$B$6))</f>
        <v>0</v>
      </c>
      <c r="Q390" s="84">
        <f>'Valores Finais'!$B$10</f>
        <v>0.12</v>
      </c>
      <c r="R390" s="76">
        <f>Materiais[[#This Row],[Valor Venda c/ Comissões (R$)]]/(1-Materiais[[#This Row],[Tributos
(%)]])-Materiais[[#This Row],[Valor Venda c/ Comissões (R$)]]</f>
        <v>0</v>
      </c>
      <c r="S390" s="76">
        <f>Materiais[[#This Row],[Valor Venda c/ Comissões (R$)]]+Materiais[[#This Row],[Tributos
(R$)]]</f>
        <v>0</v>
      </c>
      <c r="T390" s="185"/>
      <c r="U390" s="186">
        <f ca="1">IF(Materiais[[#This Row],[Data Update]] = "",0,IF(_xlfn.DAYS(NOW(),Materiais[[#This Row],[Data Update]])&lt;=0,0,_xlfn.DAYS(NOW(),Materiais[[#This Row],[Data Update]])))</f>
        <v>0</v>
      </c>
    </row>
    <row r="391" spans="1:21" x14ac:dyDescent="0.2">
      <c r="A391" s="46"/>
      <c r="B391" s="46"/>
      <c r="C391" s="46"/>
      <c r="D391" s="46"/>
      <c r="E391" s="46"/>
      <c r="F391" s="138"/>
      <c r="G391" s="129"/>
      <c r="H391" s="180"/>
      <c r="I391" s="5">
        <f>(Materiais[[#This Row],[Qtde.]]*Materiais[[#This Row],[Custo Unitário
Sem Tributos (R$)]])</f>
        <v>0</v>
      </c>
      <c r="J391" s="92">
        <v>0</v>
      </c>
      <c r="K391" s="140">
        <f>Materiais[[#This Row],[Custo Total
Sem Tributos (R$)]]*Materiais[[#This Row],[IPI
(%)]]+Materiais[[#This Row],[Custo Total
Sem Tributos (R$)]]</f>
        <v>0</v>
      </c>
      <c r="L391" s="92">
        <v>0.1</v>
      </c>
      <c r="M391" s="76">
        <f>Materiais[[#This Row],[Custo Total
Com IPI (R$)]]/(1-Materiais[[#This Row],[Margem
(%)]])</f>
        <v>0</v>
      </c>
      <c r="N391" s="16">
        <f>Materiais[[#This Row],[Valor Venda c/ Potencial Desconto  em Material (R$)]]-Materiais[[#This Row],[Custo Total
Com IPI (R$)]]</f>
        <v>0</v>
      </c>
      <c r="O391" s="93">
        <f>Materiais[[#This Row],[Valor Total
Com Margem
Sem Tributos   (R$)]]/(1-('Valores Finais'!$C$10))</f>
        <v>0</v>
      </c>
      <c r="P391" s="93">
        <f>Materiais[[#This Row],[Valor Venda c/ Potencial Desconto  em Material (R$)]]/(1-('Valores Finais'!$B$6))</f>
        <v>0</v>
      </c>
      <c r="Q391" s="84">
        <f>'Valores Finais'!$B$10</f>
        <v>0.12</v>
      </c>
      <c r="R391" s="76">
        <f>Materiais[[#This Row],[Valor Venda c/ Comissões (R$)]]/(1-Materiais[[#This Row],[Tributos
(%)]])-Materiais[[#This Row],[Valor Venda c/ Comissões (R$)]]</f>
        <v>0</v>
      </c>
      <c r="S391" s="76">
        <f>Materiais[[#This Row],[Valor Venda c/ Comissões (R$)]]+Materiais[[#This Row],[Tributos
(R$)]]</f>
        <v>0</v>
      </c>
      <c r="T391" s="185"/>
      <c r="U391" s="186">
        <f ca="1">IF(Materiais[[#This Row],[Data Update]] = "",0,IF(_xlfn.DAYS(NOW(),Materiais[[#This Row],[Data Update]])&lt;=0,0,_xlfn.DAYS(NOW(),Materiais[[#This Row],[Data Update]])))</f>
        <v>0</v>
      </c>
    </row>
    <row r="392" spans="1:21" x14ac:dyDescent="0.2">
      <c r="A392" s="46"/>
      <c r="B392" s="46"/>
      <c r="C392" s="46"/>
      <c r="D392" s="46"/>
      <c r="E392" s="46"/>
      <c r="F392" s="138"/>
      <c r="G392" s="129"/>
      <c r="H392" s="180"/>
      <c r="I392" s="5">
        <f>(Materiais[[#This Row],[Qtde.]]*Materiais[[#This Row],[Custo Unitário
Sem Tributos (R$)]])</f>
        <v>0</v>
      </c>
      <c r="J392" s="92">
        <v>0</v>
      </c>
      <c r="K392" s="140">
        <f>Materiais[[#This Row],[Custo Total
Sem Tributos (R$)]]*Materiais[[#This Row],[IPI
(%)]]+Materiais[[#This Row],[Custo Total
Sem Tributos (R$)]]</f>
        <v>0</v>
      </c>
      <c r="L392" s="92">
        <v>0.1</v>
      </c>
      <c r="M392" s="76">
        <f>Materiais[[#This Row],[Custo Total
Com IPI (R$)]]/(1-Materiais[[#This Row],[Margem
(%)]])</f>
        <v>0</v>
      </c>
      <c r="N392" s="16">
        <f>Materiais[[#This Row],[Valor Venda c/ Potencial Desconto  em Material (R$)]]-Materiais[[#This Row],[Custo Total
Com IPI (R$)]]</f>
        <v>0</v>
      </c>
      <c r="O392" s="93">
        <f>Materiais[[#This Row],[Valor Total
Com Margem
Sem Tributos   (R$)]]/(1-('Valores Finais'!$C$10))</f>
        <v>0</v>
      </c>
      <c r="P392" s="93">
        <f>Materiais[[#This Row],[Valor Venda c/ Potencial Desconto  em Material (R$)]]/(1-('Valores Finais'!$B$6))</f>
        <v>0</v>
      </c>
      <c r="Q392" s="84">
        <f>'Valores Finais'!$B$10</f>
        <v>0.12</v>
      </c>
      <c r="R392" s="76">
        <f>Materiais[[#This Row],[Valor Venda c/ Comissões (R$)]]/(1-Materiais[[#This Row],[Tributos
(%)]])-Materiais[[#This Row],[Valor Venda c/ Comissões (R$)]]</f>
        <v>0</v>
      </c>
      <c r="S392" s="76">
        <f>Materiais[[#This Row],[Valor Venda c/ Comissões (R$)]]+Materiais[[#This Row],[Tributos
(R$)]]</f>
        <v>0</v>
      </c>
      <c r="T392" s="185"/>
      <c r="U392" s="186">
        <f ca="1">IF(Materiais[[#This Row],[Data Update]] = "",0,IF(_xlfn.DAYS(NOW(),Materiais[[#This Row],[Data Update]])&lt;=0,0,_xlfn.DAYS(NOW(),Materiais[[#This Row],[Data Update]])))</f>
        <v>0</v>
      </c>
    </row>
    <row r="393" spans="1:21" x14ac:dyDescent="0.2">
      <c r="A393" s="46"/>
      <c r="B393" s="46"/>
      <c r="C393" s="46"/>
      <c r="D393" s="46"/>
      <c r="E393" s="46"/>
      <c r="F393" s="138"/>
      <c r="G393" s="129"/>
      <c r="H393" s="180"/>
      <c r="I393" s="5">
        <f>(Materiais[[#This Row],[Qtde.]]*Materiais[[#This Row],[Custo Unitário
Sem Tributos (R$)]])</f>
        <v>0</v>
      </c>
      <c r="J393" s="92">
        <v>0</v>
      </c>
      <c r="K393" s="140">
        <f>Materiais[[#This Row],[Custo Total
Sem Tributos (R$)]]*Materiais[[#This Row],[IPI
(%)]]+Materiais[[#This Row],[Custo Total
Sem Tributos (R$)]]</f>
        <v>0</v>
      </c>
      <c r="L393" s="92">
        <v>0.1</v>
      </c>
      <c r="M393" s="76">
        <f>Materiais[[#This Row],[Custo Total
Com IPI (R$)]]/(1-Materiais[[#This Row],[Margem
(%)]])</f>
        <v>0</v>
      </c>
      <c r="N393" s="16">
        <f>Materiais[[#This Row],[Valor Venda c/ Potencial Desconto  em Material (R$)]]-Materiais[[#This Row],[Custo Total
Com IPI (R$)]]</f>
        <v>0</v>
      </c>
      <c r="O393" s="93">
        <f>Materiais[[#This Row],[Valor Total
Com Margem
Sem Tributos   (R$)]]/(1-('Valores Finais'!$C$10))</f>
        <v>0</v>
      </c>
      <c r="P393" s="93">
        <f>Materiais[[#This Row],[Valor Venda c/ Potencial Desconto  em Material (R$)]]/(1-('Valores Finais'!$B$6))</f>
        <v>0</v>
      </c>
      <c r="Q393" s="84">
        <f>'Valores Finais'!$B$10</f>
        <v>0.12</v>
      </c>
      <c r="R393" s="76">
        <f>Materiais[[#This Row],[Valor Venda c/ Comissões (R$)]]/(1-Materiais[[#This Row],[Tributos
(%)]])-Materiais[[#This Row],[Valor Venda c/ Comissões (R$)]]</f>
        <v>0</v>
      </c>
      <c r="S393" s="76">
        <f>Materiais[[#This Row],[Valor Venda c/ Comissões (R$)]]+Materiais[[#This Row],[Tributos
(R$)]]</f>
        <v>0</v>
      </c>
      <c r="T393" s="185"/>
      <c r="U393" s="186">
        <f ca="1">IF(Materiais[[#This Row],[Data Update]] = "",0,IF(_xlfn.DAYS(NOW(),Materiais[[#This Row],[Data Update]])&lt;=0,0,_xlfn.DAYS(NOW(),Materiais[[#This Row],[Data Update]])))</f>
        <v>0</v>
      </c>
    </row>
    <row r="394" spans="1:21" x14ac:dyDescent="0.2">
      <c r="A394" s="46"/>
      <c r="B394" s="46"/>
      <c r="C394" s="46"/>
      <c r="D394" s="46"/>
      <c r="E394" s="46"/>
      <c r="F394" s="138"/>
      <c r="G394" s="129"/>
      <c r="H394" s="180"/>
      <c r="I394" s="5">
        <f>(Materiais[[#This Row],[Qtde.]]*Materiais[[#This Row],[Custo Unitário
Sem Tributos (R$)]])</f>
        <v>0</v>
      </c>
      <c r="J394" s="92">
        <v>0</v>
      </c>
      <c r="K394" s="140">
        <f>Materiais[[#This Row],[Custo Total
Sem Tributos (R$)]]*Materiais[[#This Row],[IPI
(%)]]+Materiais[[#This Row],[Custo Total
Sem Tributos (R$)]]</f>
        <v>0</v>
      </c>
      <c r="L394" s="92">
        <v>0.1</v>
      </c>
      <c r="M394" s="76">
        <f>Materiais[[#This Row],[Custo Total
Com IPI (R$)]]/(1-Materiais[[#This Row],[Margem
(%)]])</f>
        <v>0</v>
      </c>
      <c r="N394" s="16">
        <f>Materiais[[#This Row],[Valor Venda c/ Potencial Desconto  em Material (R$)]]-Materiais[[#This Row],[Custo Total
Com IPI (R$)]]</f>
        <v>0</v>
      </c>
      <c r="O394" s="93">
        <f>Materiais[[#This Row],[Valor Total
Com Margem
Sem Tributos   (R$)]]/(1-('Valores Finais'!$C$10))</f>
        <v>0</v>
      </c>
      <c r="P394" s="93">
        <f>Materiais[[#This Row],[Valor Venda c/ Potencial Desconto  em Material (R$)]]/(1-('Valores Finais'!$B$6))</f>
        <v>0</v>
      </c>
      <c r="Q394" s="84">
        <f>'Valores Finais'!$B$10</f>
        <v>0.12</v>
      </c>
      <c r="R394" s="76">
        <f>Materiais[[#This Row],[Valor Venda c/ Comissões (R$)]]/(1-Materiais[[#This Row],[Tributos
(%)]])-Materiais[[#This Row],[Valor Venda c/ Comissões (R$)]]</f>
        <v>0</v>
      </c>
      <c r="S394" s="76">
        <f>Materiais[[#This Row],[Valor Venda c/ Comissões (R$)]]+Materiais[[#This Row],[Tributos
(R$)]]</f>
        <v>0</v>
      </c>
      <c r="T394" s="185"/>
      <c r="U394" s="186">
        <f ca="1">IF(Materiais[[#This Row],[Data Update]] = "",0,IF(_xlfn.DAYS(NOW(),Materiais[[#This Row],[Data Update]])&lt;=0,0,_xlfn.DAYS(NOW(),Materiais[[#This Row],[Data Update]])))</f>
        <v>0</v>
      </c>
    </row>
    <row r="395" spans="1:21" x14ac:dyDescent="0.2">
      <c r="A395" s="46"/>
      <c r="B395" s="46"/>
      <c r="C395" s="46"/>
      <c r="D395" s="46"/>
      <c r="E395" s="46"/>
      <c r="F395" s="138"/>
      <c r="G395" s="129"/>
      <c r="H395" s="180"/>
      <c r="I395" s="5">
        <f>(Materiais[[#This Row],[Qtde.]]*Materiais[[#This Row],[Custo Unitário
Sem Tributos (R$)]])</f>
        <v>0</v>
      </c>
      <c r="J395" s="92">
        <v>0</v>
      </c>
      <c r="K395" s="140">
        <f>Materiais[[#This Row],[Custo Total
Sem Tributos (R$)]]*Materiais[[#This Row],[IPI
(%)]]+Materiais[[#This Row],[Custo Total
Sem Tributos (R$)]]</f>
        <v>0</v>
      </c>
      <c r="L395" s="92">
        <v>0.1</v>
      </c>
      <c r="M395" s="76">
        <f>Materiais[[#This Row],[Custo Total
Com IPI (R$)]]/(1-Materiais[[#This Row],[Margem
(%)]])</f>
        <v>0</v>
      </c>
      <c r="N395" s="16">
        <f>Materiais[[#This Row],[Valor Venda c/ Potencial Desconto  em Material (R$)]]-Materiais[[#This Row],[Custo Total
Com IPI (R$)]]</f>
        <v>0</v>
      </c>
      <c r="O395" s="93">
        <f>Materiais[[#This Row],[Valor Total
Com Margem
Sem Tributos   (R$)]]/(1-('Valores Finais'!$C$10))</f>
        <v>0</v>
      </c>
      <c r="P395" s="93">
        <f>Materiais[[#This Row],[Valor Venda c/ Potencial Desconto  em Material (R$)]]/(1-('Valores Finais'!$B$6))</f>
        <v>0</v>
      </c>
      <c r="Q395" s="84">
        <f>'Valores Finais'!$B$10</f>
        <v>0.12</v>
      </c>
      <c r="R395" s="76">
        <f>Materiais[[#This Row],[Valor Venda c/ Comissões (R$)]]/(1-Materiais[[#This Row],[Tributos
(%)]])-Materiais[[#This Row],[Valor Venda c/ Comissões (R$)]]</f>
        <v>0</v>
      </c>
      <c r="S395" s="76">
        <f>Materiais[[#This Row],[Valor Venda c/ Comissões (R$)]]+Materiais[[#This Row],[Tributos
(R$)]]</f>
        <v>0</v>
      </c>
      <c r="T395" s="185"/>
      <c r="U395" s="186">
        <f ca="1">IF(Materiais[[#This Row],[Data Update]] = "",0,IF(_xlfn.DAYS(NOW(),Materiais[[#This Row],[Data Update]])&lt;=0,0,_xlfn.DAYS(NOW(),Materiais[[#This Row],[Data Update]])))</f>
        <v>0</v>
      </c>
    </row>
    <row r="396" spans="1:21" x14ac:dyDescent="0.2">
      <c r="A396" s="46"/>
      <c r="B396" s="46"/>
      <c r="C396" s="46"/>
      <c r="D396" s="46"/>
      <c r="E396" s="46"/>
      <c r="F396" s="138"/>
      <c r="G396" s="129"/>
      <c r="H396" s="180"/>
      <c r="I396" s="5">
        <f>(Materiais[[#This Row],[Qtde.]]*Materiais[[#This Row],[Custo Unitário
Sem Tributos (R$)]])</f>
        <v>0</v>
      </c>
      <c r="J396" s="92">
        <v>0</v>
      </c>
      <c r="K396" s="140">
        <f>Materiais[[#This Row],[Custo Total
Sem Tributos (R$)]]*Materiais[[#This Row],[IPI
(%)]]+Materiais[[#This Row],[Custo Total
Sem Tributos (R$)]]</f>
        <v>0</v>
      </c>
      <c r="L396" s="92">
        <v>0.1</v>
      </c>
      <c r="M396" s="76">
        <f>Materiais[[#This Row],[Custo Total
Com IPI (R$)]]/(1-Materiais[[#This Row],[Margem
(%)]])</f>
        <v>0</v>
      </c>
      <c r="N396" s="16">
        <f>Materiais[[#This Row],[Valor Venda c/ Potencial Desconto  em Material (R$)]]-Materiais[[#This Row],[Custo Total
Com IPI (R$)]]</f>
        <v>0</v>
      </c>
      <c r="O396" s="93">
        <f>Materiais[[#This Row],[Valor Total
Com Margem
Sem Tributos   (R$)]]/(1-('Valores Finais'!$C$10))</f>
        <v>0</v>
      </c>
      <c r="P396" s="93">
        <f>Materiais[[#This Row],[Valor Venda c/ Potencial Desconto  em Material (R$)]]/(1-('Valores Finais'!$B$6))</f>
        <v>0</v>
      </c>
      <c r="Q396" s="84">
        <f>'Valores Finais'!$B$10</f>
        <v>0.12</v>
      </c>
      <c r="R396" s="76">
        <f>Materiais[[#This Row],[Valor Venda c/ Comissões (R$)]]/(1-Materiais[[#This Row],[Tributos
(%)]])-Materiais[[#This Row],[Valor Venda c/ Comissões (R$)]]</f>
        <v>0</v>
      </c>
      <c r="S396" s="76">
        <f>Materiais[[#This Row],[Valor Venda c/ Comissões (R$)]]+Materiais[[#This Row],[Tributos
(R$)]]</f>
        <v>0</v>
      </c>
      <c r="T396" s="185"/>
      <c r="U396" s="186">
        <f ca="1">IF(Materiais[[#This Row],[Data Update]] = "",0,IF(_xlfn.DAYS(NOW(),Materiais[[#This Row],[Data Update]])&lt;=0,0,_xlfn.DAYS(NOW(),Materiais[[#This Row],[Data Update]])))</f>
        <v>0</v>
      </c>
    </row>
    <row r="397" spans="1:21" x14ac:dyDescent="0.2">
      <c r="A397" s="46"/>
      <c r="B397" s="46"/>
      <c r="C397" s="46"/>
      <c r="D397" s="46"/>
      <c r="E397" s="46"/>
      <c r="F397" s="138"/>
      <c r="G397" s="129"/>
      <c r="H397" s="180"/>
      <c r="I397" s="5">
        <f>(Materiais[[#This Row],[Qtde.]]*Materiais[[#This Row],[Custo Unitário
Sem Tributos (R$)]])</f>
        <v>0</v>
      </c>
      <c r="J397" s="92">
        <v>0</v>
      </c>
      <c r="K397" s="140">
        <f>Materiais[[#This Row],[Custo Total
Sem Tributos (R$)]]*Materiais[[#This Row],[IPI
(%)]]+Materiais[[#This Row],[Custo Total
Sem Tributos (R$)]]</f>
        <v>0</v>
      </c>
      <c r="L397" s="92">
        <v>0.1</v>
      </c>
      <c r="M397" s="76">
        <f>Materiais[[#This Row],[Custo Total
Com IPI (R$)]]/(1-Materiais[[#This Row],[Margem
(%)]])</f>
        <v>0</v>
      </c>
      <c r="N397" s="16">
        <f>Materiais[[#This Row],[Valor Venda c/ Potencial Desconto  em Material (R$)]]-Materiais[[#This Row],[Custo Total
Com IPI (R$)]]</f>
        <v>0</v>
      </c>
      <c r="O397" s="93">
        <f>Materiais[[#This Row],[Valor Total
Com Margem
Sem Tributos   (R$)]]/(1-('Valores Finais'!$C$10))</f>
        <v>0</v>
      </c>
      <c r="P397" s="93">
        <f>Materiais[[#This Row],[Valor Venda c/ Potencial Desconto  em Material (R$)]]/(1-('Valores Finais'!$B$6))</f>
        <v>0</v>
      </c>
      <c r="Q397" s="84">
        <f>'Valores Finais'!$B$10</f>
        <v>0.12</v>
      </c>
      <c r="R397" s="76">
        <f>Materiais[[#This Row],[Valor Venda c/ Comissões (R$)]]/(1-Materiais[[#This Row],[Tributos
(%)]])-Materiais[[#This Row],[Valor Venda c/ Comissões (R$)]]</f>
        <v>0</v>
      </c>
      <c r="S397" s="76">
        <f>Materiais[[#This Row],[Valor Venda c/ Comissões (R$)]]+Materiais[[#This Row],[Tributos
(R$)]]</f>
        <v>0</v>
      </c>
      <c r="T397" s="185"/>
      <c r="U397" s="186">
        <f ca="1">IF(Materiais[[#This Row],[Data Update]] = "",0,IF(_xlfn.DAYS(NOW(),Materiais[[#This Row],[Data Update]])&lt;=0,0,_xlfn.DAYS(NOW(),Materiais[[#This Row],[Data Update]])))</f>
        <v>0</v>
      </c>
    </row>
    <row r="398" spans="1:21" x14ac:dyDescent="0.2">
      <c r="A398" s="46"/>
      <c r="B398" s="46"/>
      <c r="C398" s="46"/>
      <c r="D398" s="46"/>
      <c r="E398" s="46"/>
      <c r="F398" s="138"/>
      <c r="G398" s="129"/>
      <c r="H398" s="180"/>
      <c r="I398" s="5">
        <f>(Materiais[[#This Row],[Qtde.]]*Materiais[[#This Row],[Custo Unitário
Sem Tributos (R$)]])</f>
        <v>0</v>
      </c>
      <c r="J398" s="92">
        <v>0</v>
      </c>
      <c r="K398" s="140">
        <f>Materiais[[#This Row],[Custo Total
Sem Tributos (R$)]]*Materiais[[#This Row],[IPI
(%)]]+Materiais[[#This Row],[Custo Total
Sem Tributos (R$)]]</f>
        <v>0</v>
      </c>
      <c r="L398" s="92">
        <v>0.1</v>
      </c>
      <c r="M398" s="76">
        <f>Materiais[[#This Row],[Custo Total
Com IPI (R$)]]/(1-Materiais[[#This Row],[Margem
(%)]])</f>
        <v>0</v>
      </c>
      <c r="N398" s="16">
        <f>Materiais[[#This Row],[Valor Venda c/ Potencial Desconto  em Material (R$)]]-Materiais[[#This Row],[Custo Total
Com IPI (R$)]]</f>
        <v>0</v>
      </c>
      <c r="O398" s="93">
        <f>Materiais[[#This Row],[Valor Total
Com Margem
Sem Tributos   (R$)]]/(1-('Valores Finais'!$C$10))</f>
        <v>0</v>
      </c>
      <c r="P398" s="93">
        <f>Materiais[[#This Row],[Valor Venda c/ Potencial Desconto  em Material (R$)]]/(1-('Valores Finais'!$B$6))</f>
        <v>0</v>
      </c>
      <c r="Q398" s="84">
        <f>'Valores Finais'!$B$10</f>
        <v>0.12</v>
      </c>
      <c r="R398" s="76">
        <f>Materiais[[#This Row],[Valor Venda c/ Comissões (R$)]]/(1-Materiais[[#This Row],[Tributos
(%)]])-Materiais[[#This Row],[Valor Venda c/ Comissões (R$)]]</f>
        <v>0</v>
      </c>
      <c r="S398" s="76">
        <f>Materiais[[#This Row],[Valor Venda c/ Comissões (R$)]]+Materiais[[#This Row],[Tributos
(R$)]]</f>
        <v>0</v>
      </c>
      <c r="T398" s="185"/>
      <c r="U398" s="186">
        <f ca="1">IF(Materiais[[#This Row],[Data Update]] = "",0,IF(_xlfn.DAYS(NOW(),Materiais[[#This Row],[Data Update]])&lt;=0,0,_xlfn.DAYS(NOW(),Materiais[[#This Row],[Data Update]])))</f>
        <v>0</v>
      </c>
    </row>
    <row r="399" spans="1:21" x14ac:dyDescent="0.2">
      <c r="A399" s="46"/>
      <c r="B399" s="46"/>
      <c r="C399" s="46"/>
      <c r="D399" s="46"/>
      <c r="E399" s="46"/>
      <c r="F399" s="138"/>
      <c r="G399" s="129"/>
      <c r="H399" s="180"/>
      <c r="I399" s="5">
        <f>(Materiais[[#This Row],[Qtde.]]*Materiais[[#This Row],[Custo Unitário
Sem Tributos (R$)]])</f>
        <v>0</v>
      </c>
      <c r="J399" s="92">
        <v>0</v>
      </c>
      <c r="K399" s="140">
        <f>Materiais[[#This Row],[Custo Total
Sem Tributos (R$)]]*Materiais[[#This Row],[IPI
(%)]]+Materiais[[#This Row],[Custo Total
Sem Tributos (R$)]]</f>
        <v>0</v>
      </c>
      <c r="L399" s="92">
        <v>0.1</v>
      </c>
      <c r="M399" s="76">
        <f>Materiais[[#This Row],[Custo Total
Com IPI (R$)]]/(1-Materiais[[#This Row],[Margem
(%)]])</f>
        <v>0</v>
      </c>
      <c r="N399" s="16">
        <f>Materiais[[#This Row],[Valor Venda c/ Potencial Desconto  em Material (R$)]]-Materiais[[#This Row],[Custo Total
Com IPI (R$)]]</f>
        <v>0</v>
      </c>
      <c r="O399" s="93">
        <f>Materiais[[#This Row],[Valor Total
Com Margem
Sem Tributos   (R$)]]/(1-('Valores Finais'!$C$10))</f>
        <v>0</v>
      </c>
      <c r="P399" s="93">
        <f>Materiais[[#This Row],[Valor Venda c/ Potencial Desconto  em Material (R$)]]/(1-('Valores Finais'!$B$6))</f>
        <v>0</v>
      </c>
      <c r="Q399" s="84">
        <f>'Valores Finais'!$B$10</f>
        <v>0.12</v>
      </c>
      <c r="R399" s="76">
        <f>Materiais[[#This Row],[Valor Venda c/ Comissões (R$)]]/(1-Materiais[[#This Row],[Tributos
(%)]])-Materiais[[#This Row],[Valor Venda c/ Comissões (R$)]]</f>
        <v>0</v>
      </c>
      <c r="S399" s="76">
        <f>Materiais[[#This Row],[Valor Venda c/ Comissões (R$)]]+Materiais[[#This Row],[Tributos
(R$)]]</f>
        <v>0</v>
      </c>
      <c r="T399" s="185"/>
      <c r="U399" s="186">
        <f ca="1">IF(Materiais[[#This Row],[Data Update]] = "",0,IF(_xlfn.DAYS(NOW(),Materiais[[#This Row],[Data Update]])&lt;=0,0,_xlfn.DAYS(NOW(),Materiais[[#This Row],[Data Update]])))</f>
        <v>0</v>
      </c>
    </row>
    <row r="400" spans="1:21" x14ac:dyDescent="0.2">
      <c r="A400" s="46"/>
      <c r="B400" s="46"/>
      <c r="C400" s="46"/>
      <c r="D400" s="46"/>
      <c r="E400" s="46"/>
      <c r="F400" s="138"/>
      <c r="G400" s="129"/>
      <c r="H400" s="180"/>
      <c r="I400" s="5">
        <f>(Materiais[[#This Row],[Qtde.]]*Materiais[[#This Row],[Custo Unitário
Sem Tributos (R$)]])</f>
        <v>0</v>
      </c>
      <c r="J400" s="92">
        <v>0</v>
      </c>
      <c r="K400" s="140">
        <f>Materiais[[#This Row],[Custo Total
Sem Tributos (R$)]]*Materiais[[#This Row],[IPI
(%)]]+Materiais[[#This Row],[Custo Total
Sem Tributos (R$)]]</f>
        <v>0</v>
      </c>
      <c r="L400" s="92">
        <v>0.1</v>
      </c>
      <c r="M400" s="76">
        <f>Materiais[[#This Row],[Custo Total
Com IPI (R$)]]/(1-Materiais[[#This Row],[Margem
(%)]])</f>
        <v>0</v>
      </c>
      <c r="N400" s="16">
        <f>Materiais[[#This Row],[Valor Venda c/ Potencial Desconto  em Material (R$)]]-Materiais[[#This Row],[Custo Total
Com IPI (R$)]]</f>
        <v>0</v>
      </c>
      <c r="O400" s="93">
        <f>Materiais[[#This Row],[Valor Total
Com Margem
Sem Tributos   (R$)]]/(1-('Valores Finais'!$C$10))</f>
        <v>0</v>
      </c>
      <c r="P400" s="93">
        <f>Materiais[[#This Row],[Valor Venda c/ Potencial Desconto  em Material (R$)]]/(1-('Valores Finais'!$B$6))</f>
        <v>0</v>
      </c>
      <c r="Q400" s="84">
        <f>'Valores Finais'!$B$10</f>
        <v>0.12</v>
      </c>
      <c r="R400" s="76">
        <f>Materiais[[#This Row],[Valor Venda c/ Comissões (R$)]]/(1-Materiais[[#This Row],[Tributos
(%)]])-Materiais[[#This Row],[Valor Venda c/ Comissões (R$)]]</f>
        <v>0</v>
      </c>
      <c r="S400" s="76">
        <f>Materiais[[#This Row],[Valor Venda c/ Comissões (R$)]]+Materiais[[#This Row],[Tributos
(R$)]]</f>
        <v>0</v>
      </c>
      <c r="T400" s="185"/>
      <c r="U400" s="186">
        <f ca="1">IF(Materiais[[#This Row],[Data Update]] = "",0,IF(_xlfn.DAYS(NOW(),Materiais[[#This Row],[Data Update]])&lt;=0,0,_xlfn.DAYS(NOW(),Materiais[[#This Row],[Data Update]])))</f>
        <v>0</v>
      </c>
    </row>
    <row r="401" spans="1:21" x14ac:dyDescent="0.2">
      <c r="A401" s="46"/>
      <c r="B401" s="46"/>
      <c r="C401" s="46"/>
      <c r="D401" s="46"/>
      <c r="E401" s="46"/>
      <c r="F401" s="138"/>
      <c r="G401" s="129"/>
      <c r="H401" s="180"/>
      <c r="I401" s="5">
        <f>(Materiais[[#This Row],[Qtde.]]*Materiais[[#This Row],[Custo Unitário
Sem Tributos (R$)]])</f>
        <v>0</v>
      </c>
      <c r="J401" s="92">
        <v>0</v>
      </c>
      <c r="K401" s="140">
        <f>Materiais[[#This Row],[Custo Total
Sem Tributos (R$)]]*Materiais[[#This Row],[IPI
(%)]]+Materiais[[#This Row],[Custo Total
Sem Tributos (R$)]]</f>
        <v>0</v>
      </c>
      <c r="L401" s="92">
        <v>0.1</v>
      </c>
      <c r="M401" s="76">
        <f>Materiais[[#This Row],[Custo Total
Com IPI (R$)]]/(1-Materiais[[#This Row],[Margem
(%)]])</f>
        <v>0</v>
      </c>
      <c r="N401" s="16">
        <f>Materiais[[#This Row],[Valor Venda c/ Potencial Desconto  em Material (R$)]]-Materiais[[#This Row],[Custo Total
Com IPI (R$)]]</f>
        <v>0</v>
      </c>
      <c r="O401" s="93">
        <f>Materiais[[#This Row],[Valor Total
Com Margem
Sem Tributos   (R$)]]/(1-('Valores Finais'!$C$10))</f>
        <v>0</v>
      </c>
      <c r="P401" s="93">
        <f>Materiais[[#This Row],[Valor Venda c/ Potencial Desconto  em Material (R$)]]/(1-('Valores Finais'!$B$6))</f>
        <v>0</v>
      </c>
      <c r="Q401" s="84">
        <f>'Valores Finais'!$B$10</f>
        <v>0.12</v>
      </c>
      <c r="R401" s="76">
        <f>Materiais[[#This Row],[Valor Venda c/ Comissões (R$)]]/(1-Materiais[[#This Row],[Tributos
(%)]])-Materiais[[#This Row],[Valor Venda c/ Comissões (R$)]]</f>
        <v>0</v>
      </c>
      <c r="S401" s="76">
        <f>Materiais[[#This Row],[Valor Venda c/ Comissões (R$)]]+Materiais[[#This Row],[Tributos
(R$)]]</f>
        <v>0</v>
      </c>
      <c r="T401" s="185"/>
      <c r="U401" s="186">
        <f ca="1">IF(Materiais[[#This Row],[Data Update]] = "",0,IF(_xlfn.DAYS(NOW(),Materiais[[#This Row],[Data Update]])&lt;=0,0,_xlfn.DAYS(NOW(),Materiais[[#This Row],[Data Update]])))</f>
        <v>0</v>
      </c>
    </row>
    <row r="402" spans="1:21" x14ac:dyDescent="0.2">
      <c r="A402" s="46"/>
      <c r="B402" s="46"/>
      <c r="C402" s="46"/>
      <c r="D402" s="46"/>
      <c r="E402" s="46"/>
      <c r="F402" s="138"/>
      <c r="G402" s="129"/>
      <c r="H402" s="180"/>
      <c r="I402" s="5">
        <f>(Materiais[[#This Row],[Qtde.]]*Materiais[[#This Row],[Custo Unitário
Sem Tributos (R$)]])</f>
        <v>0</v>
      </c>
      <c r="J402" s="92">
        <v>0</v>
      </c>
      <c r="K402" s="140">
        <f>Materiais[[#This Row],[Custo Total
Sem Tributos (R$)]]*Materiais[[#This Row],[IPI
(%)]]+Materiais[[#This Row],[Custo Total
Sem Tributos (R$)]]</f>
        <v>0</v>
      </c>
      <c r="L402" s="92">
        <v>0.1</v>
      </c>
      <c r="M402" s="76">
        <f>Materiais[[#This Row],[Custo Total
Com IPI (R$)]]/(1-Materiais[[#This Row],[Margem
(%)]])</f>
        <v>0</v>
      </c>
      <c r="N402" s="16">
        <f>Materiais[[#This Row],[Valor Venda c/ Potencial Desconto  em Material (R$)]]-Materiais[[#This Row],[Custo Total
Com IPI (R$)]]</f>
        <v>0</v>
      </c>
      <c r="O402" s="93">
        <f>Materiais[[#This Row],[Valor Total
Com Margem
Sem Tributos   (R$)]]/(1-('Valores Finais'!$C$10))</f>
        <v>0</v>
      </c>
      <c r="P402" s="93">
        <f>Materiais[[#This Row],[Valor Venda c/ Potencial Desconto  em Material (R$)]]/(1-('Valores Finais'!$B$6))</f>
        <v>0</v>
      </c>
      <c r="Q402" s="84">
        <f>'Valores Finais'!$B$10</f>
        <v>0.12</v>
      </c>
      <c r="R402" s="76">
        <f>Materiais[[#This Row],[Valor Venda c/ Comissões (R$)]]/(1-Materiais[[#This Row],[Tributos
(%)]])-Materiais[[#This Row],[Valor Venda c/ Comissões (R$)]]</f>
        <v>0</v>
      </c>
      <c r="S402" s="76">
        <f>Materiais[[#This Row],[Valor Venda c/ Comissões (R$)]]+Materiais[[#This Row],[Tributos
(R$)]]</f>
        <v>0</v>
      </c>
      <c r="T402" s="185"/>
      <c r="U402" s="186">
        <f ca="1">IF(Materiais[[#This Row],[Data Update]] = "",0,IF(_xlfn.DAYS(NOW(),Materiais[[#This Row],[Data Update]])&lt;=0,0,_xlfn.DAYS(NOW(),Materiais[[#This Row],[Data Update]])))</f>
        <v>0</v>
      </c>
    </row>
    <row r="403" spans="1:21" x14ac:dyDescent="0.2">
      <c r="A403" s="46"/>
      <c r="B403" s="46"/>
      <c r="C403" s="46"/>
      <c r="D403" s="46"/>
      <c r="E403" s="46"/>
      <c r="F403" s="138"/>
      <c r="G403" s="129"/>
      <c r="H403" s="180"/>
      <c r="I403" s="5">
        <f>(Materiais[[#This Row],[Qtde.]]*Materiais[[#This Row],[Custo Unitário
Sem Tributos (R$)]])</f>
        <v>0</v>
      </c>
      <c r="J403" s="92">
        <v>0</v>
      </c>
      <c r="K403" s="140">
        <f>Materiais[[#This Row],[Custo Total
Sem Tributos (R$)]]*Materiais[[#This Row],[IPI
(%)]]+Materiais[[#This Row],[Custo Total
Sem Tributos (R$)]]</f>
        <v>0</v>
      </c>
      <c r="L403" s="92">
        <v>0.1</v>
      </c>
      <c r="M403" s="76">
        <f>Materiais[[#This Row],[Custo Total
Com IPI (R$)]]/(1-Materiais[[#This Row],[Margem
(%)]])</f>
        <v>0</v>
      </c>
      <c r="N403" s="16">
        <f>Materiais[[#This Row],[Valor Venda c/ Potencial Desconto  em Material (R$)]]-Materiais[[#This Row],[Custo Total
Com IPI (R$)]]</f>
        <v>0</v>
      </c>
      <c r="O403" s="93">
        <f>Materiais[[#This Row],[Valor Total
Com Margem
Sem Tributos   (R$)]]/(1-('Valores Finais'!$C$10))</f>
        <v>0</v>
      </c>
      <c r="P403" s="93">
        <f>Materiais[[#This Row],[Valor Venda c/ Potencial Desconto  em Material (R$)]]/(1-('Valores Finais'!$B$6))</f>
        <v>0</v>
      </c>
      <c r="Q403" s="84">
        <f>'Valores Finais'!$B$10</f>
        <v>0.12</v>
      </c>
      <c r="R403" s="76">
        <f>Materiais[[#This Row],[Valor Venda c/ Comissões (R$)]]/(1-Materiais[[#This Row],[Tributos
(%)]])-Materiais[[#This Row],[Valor Venda c/ Comissões (R$)]]</f>
        <v>0</v>
      </c>
      <c r="S403" s="76">
        <f>Materiais[[#This Row],[Valor Venda c/ Comissões (R$)]]+Materiais[[#This Row],[Tributos
(R$)]]</f>
        <v>0</v>
      </c>
      <c r="T403" s="185"/>
      <c r="U403" s="186">
        <f ca="1">IF(Materiais[[#This Row],[Data Update]] = "",0,IF(_xlfn.DAYS(NOW(),Materiais[[#This Row],[Data Update]])&lt;=0,0,_xlfn.DAYS(NOW(),Materiais[[#This Row],[Data Update]])))</f>
        <v>0</v>
      </c>
    </row>
    <row r="404" spans="1:21" x14ac:dyDescent="0.2">
      <c r="A404" s="46"/>
      <c r="B404" s="46"/>
      <c r="C404" s="46"/>
      <c r="D404" s="46"/>
      <c r="E404" s="46"/>
      <c r="F404" s="138"/>
      <c r="G404" s="129"/>
      <c r="H404" s="180"/>
      <c r="I404" s="5">
        <f>(Materiais[[#This Row],[Qtde.]]*Materiais[[#This Row],[Custo Unitário
Sem Tributos (R$)]])</f>
        <v>0</v>
      </c>
      <c r="J404" s="92">
        <v>0</v>
      </c>
      <c r="K404" s="140">
        <f>Materiais[[#This Row],[Custo Total
Sem Tributos (R$)]]*Materiais[[#This Row],[IPI
(%)]]+Materiais[[#This Row],[Custo Total
Sem Tributos (R$)]]</f>
        <v>0</v>
      </c>
      <c r="L404" s="92">
        <v>0.1</v>
      </c>
      <c r="M404" s="76">
        <f>Materiais[[#This Row],[Custo Total
Com IPI (R$)]]/(1-Materiais[[#This Row],[Margem
(%)]])</f>
        <v>0</v>
      </c>
      <c r="N404" s="16">
        <f>Materiais[[#This Row],[Valor Venda c/ Potencial Desconto  em Material (R$)]]-Materiais[[#This Row],[Custo Total
Com IPI (R$)]]</f>
        <v>0</v>
      </c>
      <c r="O404" s="93">
        <f>Materiais[[#This Row],[Valor Total
Com Margem
Sem Tributos   (R$)]]/(1-('Valores Finais'!$C$10))</f>
        <v>0</v>
      </c>
      <c r="P404" s="93">
        <f>Materiais[[#This Row],[Valor Venda c/ Potencial Desconto  em Material (R$)]]/(1-('Valores Finais'!$B$6))</f>
        <v>0</v>
      </c>
      <c r="Q404" s="84">
        <f>'Valores Finais'!$B$10</f>
        <v>0.12</v>
      </c>
      <c r="R404" s="76">
        <f>Materiais[[#This Row],[Valor Venda c/ Comissões (R$)]]/(1-Materiais[[#This Row],[Tributos
(%)]])-Materiais[[#This Row],[Valor Venda c/ Comissões (R$)]]</f>
        <v>0</v>
      </c>
      <c r="S404" s="76">
        <f>Materiais[[#This Row],[Valor Venda c/ Comissões (R$)]]+Materiais[[#This Row],[Tributos
(R$)]]</f>
        <v>0</v>
      </c>
      <c r="T404" s="185"/>
      <c r="U404" s="186">
        <f ca="1">IF(Materiais[[#This Row],[Data Update]] = "",0,IF(_xlfn.DAYS(NOW(),Materiais[[#This Row],[Data Update]])&lt;=0,0,_xlfn.DAYS(NOW(),Materiais[[#This Row],[Data Update]])))</f>
        <v>0</v>
      </c>
    </row>
    <row r="405" spans="1:21" x14ac:dyDescent="0.2">
      <c r="A405" s="46"/>
      <c r="B405" s="46"/>
      <c r="C405" s="46"/>
      <c r="D405" s="46"/>
      <c r="E405" s="46"/>
      <c r="F405" s="138"/>
      <c r="G405" s="129"/>
      <c r="H405" s="180"/>
      <c r="I405" s="5">
        <f>(Materiais[[#This Row],[Qtde.]]*Materiais[[#This Row],[Custo Unitário
Sem Tributos (R$)]])</f>
        <v>0</v>
      </c>
      <c r="J405" s="92">
        <v>0</v>
      </c>
      <c r="K405" s="140">
        <f>Materiais[[#This Row],[Custo Total
Sem Tributos (R$)]]*Materiais[[#This Row],[IPI
(%)]]+Materiais[[#This Row],[Custo Total
Sem Tributos (R$)]]</f>
        <v>0</v>
      </c>
      <c r="L405" s="92">
        <v>0.1</v>
      </c>
      <c r="M405" s="76">
        <f>Materiais[[#This Row],[Custo Total
Com IPI (R$)]]/(1-Materiais[[#This Row],[Margem
(%)]])</f>
        <v>0</v>
      </c>
      <c r="N405" s="16">
        <f>Materiais[[#This Row],[Valor Venda c/ Potencial Desconto  em Material (R$)]]-Materiais[[#This Row],[Custo Total
Com IPI (R$)]]</f>
        <v>0</v>
      </c>
      <c r="O405" s="93">
        <f>Materiais[[#This Row],[Valor Total
Com Margem
Sem Tributos   (R$)]]/(1-('Valores Finais'!$C$10))</f>
        <v>0</v>
      </c>
      <c r="P405" s="93">
        <f>Materiais[[#This Row],[Valor Venda c/ Potencial Desconto  em Material (R$)]]/(1-('Valores Finais'!$B$6))</f>
        <v>0</v>
      </c>
      <c r="Q405" s="84">
        <f>'Valores Finais'!$B$10</f>
        <v>0.12</v>
      </c>
      <c r="R405" s="76">
        <f>Materiais[[#This Row],[Valor Venda c/ Comissões (R$)]]/(1-Materiais[[#This Row],[Tributos
(%)]])-Materiais[[#This Row],[Valor Venda c/ Comissões (R$)]]</f>
        <v>0</v>
      </c>
      <c r="S405" s="76">
        <f>Materiais[[#This Row],[Valor Venda c/ Comissões (R$)]]+Materiais[[#This Row],[Tributos
(R$)]]</f>
        <v>0</v>
      </c>
      <c r="T405" s="185"/>
      <c r="U405" s="186">
        <f ca="1">IF(Materiais[[#This Row],[Data Update]] = "",0,IF(_xlfn.DAYS(NOW(),Materiais[[#This Row],[Data Update]])&lt;=0,0,_xlfn.DAYS(NOW(),Materiais[[#This Row],[Data Update]])))</f>
        <v>0</v>
      </c>
    </row>
    <row r="406" spans="1:21" x14ac:dyDescent="0.2">
      <c r="A406" s="46"/>
      <c r="B406" s="46"/>
      <c r="C406" s="46"/>
      <c r="D406" s="46"/>
      <c r="E406" s="46"/>
      <c r="F406" s="138"/>
      <c r="G406" s="129"/>
      <c r="H406" s="180"/>
      <c r="I406" s="5">
        <f>(Materiais[[#This Row],[Qtde.]]*Materiais[[#This Row],[Custo Unitário
Sem Tributos (R$)]])</f>
        <v>0</v>
      </c>
      <c r="J406" s="92">
        <v>0</v>
      </c>
      <c r="K406" s="140">
        <f>Materiais[[#This Row],[Custo Total
Sem Tributos (R$)]]*Materiais[[#This Row],[IPI
(%)]]+Materiais[[#This Row],[Custo Total
Sem Tributos (R$)]]</f>
        <v>0</v>
      </c>
      <c r="L406" s="92">
        <v>0.1</v>
      </c>
      <c r="M406" s="76">
        <f>Materiais[[#This Row],[Custo Total
Com IPI (R$)]]/(1-Materiais[[#This Row],[Margem
(%)]])</f>
        <v>0</v>
      </c>
      <c r="N406" s="16">
        <f>Materiais[[#This Row],[Valor Venda c/ Potencial Desconto  em Material (R$)]]-Materiais[[#This Row],[Custo Total
Com IPI (R$)]]</f>
        <v>0</v>
      </c>
      <c r="O406" s="93">
        <f>Materiais[[#This Row],[Valor Total
Com Margem
Sem Tributos   (R$)]]/(1-('Valores Finais'!$C$10))</f>
        <v>0</v>
      </c>
      <c r="P406" s="93">
        <f>Materiais[[#This Row],[Valor Venda c/ Potencial Desconto  em Material (R$)]]/(1-('Valores Finais'!$B$6))</f>
        <v>0</v>
      </c>
      <c r="Q406" s="84">
        <f>'Valores Finais'!$B$10</f>
        <v>0.12</v>
      </c>
      <c r="R406" s="76">
        <f>Materiais[[#This Row],[Valor Venda c/ Comissões (R$)]]/(1-Materiais[[#This Row],[Tributos
(%)]])-Materiais[[#This Row],[Valor Venda c/ Comissões (R$)]]</f>
        <v>0</v>
      </c>
      <c r="S406" s="76">
        <f>Materiais[[#This Row],[Valor Venda c/ Comissões (R$)]]+Materiais[[#This Row],[Tributos
(R$)]]</f>
        <v>0</v>
      </c>
      <c r="T406" s="185"/>
      <c r="U406" s="186">
        <f ca="1">IF(Materiais[[#This Row],[Data Update]] = "",0,IF(_xlfn.DAYS(NOW(),Materiais[[#This Row],[Data Update]])&lt;=0,0,_xlfn.DAYS(NOW(),Materiais[[#This Row],[Data Update]])))</f>
        <v>0</v>
      </c>
    </row>
    <row r="407" spans="1:21" x14ac:dyDescent="0.2">
      <c r="A407" s="46"/>
      <c r="B407" s="46"/>
      <c r="C407" s="46"/>
      <c r="D407" s="46"/>
      <c r="E407" s="46"/>
      <c r="F407" s="138"/>
      <c r="G407" s="129"/>
      <c r="H407" s="180"/>
      <c r="I407" s="5">
        <f>(Materiais[[#This Row],[Qtde.]]*Materiais[[#This Row],[Custo Unitário
Sem Tributos (R$)]])</f>
        <v>0</v>
      </c>
      <c r="J407" s="92">
        <v>0</v>
      </c>
      <c r="K407" s="140">
        <f>Materiais[[#This Row],[Custo Total
Sem Tributos (R$)]]*Materiais[[#This Row],[IPI
(%)]]+Materiais[[#This Row],[Custo Total
Sem Tributos (R$)]]</f>
        <v>0</v>
      </c>
      <c r="L407" s="92">
        <v>0.1</v>
      </c>
      <c r="M407" s="76">
        <f>Materiais[[#This Row],[Custo Total
Com IPI (R$)]]/(1-Materiais[[#This Row],[Margem
(%)]])</f>
        <v>0</v>
      </c>
      <c r="N407" s="16">
        <f>Materiais[[#This Row],[Valor Venda c/ Potencial Desconto  em Material (R$)]]-Materiais[[#This Row],[Custo Total
Com IPI (R$)]]</f>
        <v>0</v>
      </c>
      <c r="O407" s="93">
        <f>Materiais[[#This Row],[Valor Total
Com Margem
Sem Tributos   (R$)]]/(1-('Valores Finais'!$C$10))</f>
        <v>0</v>
      </c>
      <c r="P407" s="93">
        <f>Materiais[[#This Row],[Valor Venda c/ Potencial Desconto  em Material (R$)]]/(1-('Valores Finais'!$B$6))</f>
        <v>0</v>
      </c>
      <c r="Q407" s="84">
        <f>'Valores Finais'!$B$10</f>
        <v>0.12</v>
      </c>
      <c r="R407" s="76">
        <f>Materiais[[#This Row],[Valor Venda c/ Comissões (R$)]]/(1-Materiais[[#This Row],[Tributos
(%)]])-Materiais[[#This Row],[Valor Venda c/ Comissões (R$)]]</f>
        <v>0</v>
      </c>
      <c r="S407" s="76">
        <f>Materiais[[#This Row],[Valor Venda c/ Comissões (R$)]]+Materiais[[#This Row],[Tributos
(R$)]]</f>
        <v>0</v>
      </c>
      <c r="T407" s="185"/>
      <c r="U407" s="186">
        <f ca="1">IF(Materiais[[#This Row],[Data Update]] = "",0,IF(_xlfn.DAYS(NOW(),Materiais[[#This Row],[Data Update]])&lt;=0,0,_xlfn.DAYS(NOW(),Materiais[[#This Row],[Data Update]])))</f>
        <v>0</v>
      </c>
    </row>
    <row r="408" spans="1:21" x14ac:dyDescent="0.2">
      <c r="A408" s="46"/>
      <c r="B408" s="46"/>
      <c r="C408" s="46"/>
      <c r="D408" s="46"/>
      <c r="E408" s="46"/>
      <c r="F408" s="138"/>
      <c r="G408" s="129"/>
      <c r="H408" s="180"/>
      <c r="I408" s="5">
        <f>(Materiais[[#This Row],[Qtde.]]*Materiais[[#This Row],[Custo Unitário
Sem Tributos (R$)]])</f>
        <v>0</v>
      </c>
      <c r="J408" s="92">
        <v>0</v>
      </c>
      <c r="K408" s="140">
        <f>Materiais[[#This Row],[Custo Total
Sem Tributos (R$)]]*Materiais[[#This Row],[IPI
(%)]]+Materiais[[#This Row],[Custo Total
Sem Tributos (R$)]]</f>
        <v>0</v>
      </c>
      <c r="L408" s="92">
        <v>0.1</v>
      </c>
      <c r="M408" s="76">
        <f>Materiais[[#This Row],[Custo Total
Com IPI (R$)]]/(1-Materiais[[#This Row],[Margem
(%)]])</f>
        <v>0</v>
      </c>
      <c r="N408" s="16">
        <f>Materiais[[#This Row],[Valor Venda c/ Potencial Desconto  em Material (R$)]]-Materiais[[#This Row],[Custo Total
Com IPI (R$)]]</f>
        <v>0</v>
      </c>
      <c r="O408" s="93">
        <f>Materiais[[#This Row],[Valor Total
Com Margem
Sem Tributos   (R$)]]/(1-('Valores Finais'!$C$10))</f>
        <v>0</v>
      </c>
      <c r="P408" s="93">
        <f>Materiais[[#This Row],[Valor Venda c/ Potencial Desconto  em Material (R$)]]/(1-('Valores Finais'!$B$6))</f>
        <v>0</v>
      </c>
      <c r="Q408" s="84">
        <f>'Valores Finais'!$B$10</f>
        <v>0.12</v>
      </c>
      <c r="R408" s="76">
        <f>Materiais[[#This Row],[Valor Venda c/ Comissões (R$)]]/(1-Materiais[[#This Row],[Tributos
(%)]])-Materiais[[#This Row],[Valor Venda c/ Comissões (R$)]]</f>
        <v>0</v>
      </c>
      <c r="S408" s="76">
        <f>Materiais[[#This Row],[Valor Venda c/ Comissões (R$)]]+Materiais[[#This Row],[Tributos
(R$)]]</f>
        <v>0</v>
      </c>
      <c r="T408" s="185"/>
      <c r="U408" s="186">
        <f ca="1">IF(Materiais[[#This Row],[Data Update]] = "",0,IF(_xlfn.DAYS(NOW(),Materiais[[#This Row],[Data Update]])&lt;=0,0,_xlfn.DAYS(NOW(),Materiais[[#This Row],[Data Update]])))</f>
        <v>0</v>
      </c>
    </row>
    <row r="409" spans="1:21" x14ac:dyDescent="0.2">
      <c r="A409" s="46"/>
      <c r="B409" s="46"/>
      <c r="C409" s="46"/>
      <c r="D409" s="46"/>
      <c r="E409" s="46"/>
      <c r="F409" s="138"/>
      <c r="G409" s="129"/>
      <c r="H409" s="180"/>
      <c r="I409" s="5">
        <f>(Materiais[[#This Row],[Qtde.]]*Materiais[[#This Row],[Custo Unitário
Sem Tributos (R$)]])</f>
        <v>0</v>
      </c>
      <c r="J409" s="92">
        <v>0</v>
      </c>
      <c r="K409" s="140">
        <f>Materiais[[#This Row],[Custo Total
Sem Tributos (R$)]]*Materiais[[#This Row],[IPI
(%)]]+Materiais[[#This Row],[Custo Total
Sem Tributos (R$)]]</f>
        <v>0</v>
      </c>
      <c r="L409" s="92">
        <v>0.1</v>
      </c>
      <c r="M409" s="76">
        <f>Materiais[[#This Row],[Custo Total
Com IPI (R$)]]/(1-Materiais[[#This Row],[Margem
(%)]])</f>
        <v>0</v>
      </c>
      <c r="N409" s="16">
        <f>Materiais[[#This Row],[Valor Venda c/ Potencial Desconto  em Material (R$)]]-Materiais[[#This Row],[Custo Total
Com IPI (R$)]]</f>
        <v>0</v>
      </c>
      <c r="O409" s="93">
        <f>Materiais[[#This Row],[Valor Total
Com Margem
Sem Tributos   (R$)]]/(1-('Valores Finais'!$C$10))</f>
        <v>0</v>
      </c>
      <c r="P409" s="93">
        <f>Materiais[[#This Row],[Valor Venda c/ Potencial Desconto  em Material (R$)]]/(1-('Valores Finais'!$B$6))</f>
        <v>0</v>
      </c>
      <c r="Q409" s="84">
        <f>'Valores Finais'!$B$10</f>
        <v>0.12</v>
      </c>
      <c r="R409" s="76">
        <f>Materiais[[#This Row],[Valor Venda c/ Comissões (R$)]]/(1-Materiais[[#This Row],[Tributos
(%)]])-Materiais[[#This Row],[Valor Venda c/ Comissões (R$)]]</f>
        <v>0</v>
      </c>
      <c r="S409" s="76">
        <f>Materiais[[#This Row],[Valor Venda c/ Comissões (R$)]]+Materiais[[#This Row],[Tributos
(R$)]]</f>
        <v>0</v>
      </c>
      <c r="T409" s="185"/>
      <c r="U409" s="186">
        <f ca="1">IF(Materiais[[#This Row],[Data Update]] = "",0,IF(_xlfn.DAYS(NOW(),Materiais[[#This Row],[Data Update]])&lt;=0,0,_xlfn.DAYS(NOW(),Materiais[[#This Row],[Data Update]])))</f>
        <v>0</v>
      </c>
    </row>
    <row r="410" spans="1:21" x14ac:dyDescent="0.2">
      <c r="A410" s="46"/>
      <c r="B410" s="46"/>
      <c r="C410" s="46"/>
      <c r="D410" s="46"/>
      <c r="E410" s="46"/>
      <c r="F410" s="138"/>
      <c r="G410" s="129"/>
      <c r="H410" s="180"/>
      <c r="I410" s="5">
        <f>(Materiais[[#This Row],[Qtde.]]*Materiais[[#This Row],[Custo Unitário
Sem Tributos (R$)]])</f>
        <v>0</v>
      </c>
      <c r="J410" s="92">
        <v>0</v>
      </c>
      <c r="K410" s="140">
        <f>Materiais[[#This Row],[Custo Total
Sem Tributos (R$)]]*Materiais[[#This Row],[IPI
(%)]]+Materiais[[#This Row],[Custo Total
Sem Tributos (R$)]]</f>
        <v>0</v>
      </c>
      <c r="L410" s="92">
        <v>0.1</v>
      </c>
      <c r="M410" s="76">
        <f>Materiais[[#This Row],[Custo Total
Com IPI (R$)]]/(1-Materiais[[#This Row],[Margem
(%)]])</f>
        <v>0</v>
      </c>
      <c r="N410" s="16">
        <f>Materiais[[#This Row],[Valor Venda c/ Potencial Desconto  em Material (R$)]]-Materiais[[#This Row],[Custo Total
Com IPI (R$)]]</f>
        <v>0</v>
      </c>
      <c r="O410" s="93">
        <f>Materiais[[#This Row],[Valor Total
Com Margem
Sem Tributos   (R$)]]/(1-('Valores Finais'!$C$10))</f>
        <v>0</v>
      </c>
      <c r="P410" s="93">
        <f>Materiais[[#This Row],[Valor Venda c/ Potencial Desconto  em Material (R$)]]/(1-('Valores Finais'!$B$6))</f>
        <v>0</v>
      </c>
      <c r="Q410" s="84">
        <f>'Valores Finais'!$B$10</f>
        <v>0.12</v>
      </c>
      <c r="R410" s="76">
        <f>Materiais[[#This Row],[Valor Venda c/ Comissões (R$)]]/(1-Materiais[[#This Row],[Tributos
(%)]])-Materiais[[#This Row],[Valor Venda c/ Comissões (R$)]]</f>
        <v>0</v>
      </c>
      <c r="S410" s="76">
        <f>Materiais[[#This Row],[Valor Venda c/ Comissões (R$)]]+Materiais[[#This Row],[Tributos
(R$)]]</f>
        <v>0</v>
      </c>
      <c r="T410" s="185"/>
      <c r="U410" s="186">
        <f ca="1">IF(Materiais[[#This Row],[Data Update]] = "",0,IF(_xlfn.DAYS(NOW(),Materiais[[#This Row],[Data Update]])&lt;=0,0,_xlfn.DAYS(NOW(),Materiais[[#This Row],[Data Update]])))</f>
        <v>0</v>
      </c>
    </row>
    <row r="411" spans="1:21" x14ac:dyDescent="0.2">
      <c r="A411" s="46"/>
      <c r="B411" s="46"/>
      <c r="C411" s="46"/>
      <c r="D411" s="46"/>
      <c r="E411" s="46"/>
      <c r="F411" s="138"/>
      <c r="G411" s="129"/>
      <c r="H411" s="180"/>
      <c r="I411" s="5">
        <f>(Materiais[[#This Row],[Qtde.]]*Materiais[[#This Row],[Custo Unitário
Sem Tributos (R$)]])</f>
        <v>0</v>
      </c>
      <c r="J411" s="92">
        <v>0</v>
      </c>
      <c r="K411" s="140">
        <f>Materiais[[#This Row],[Custo Total
Sem Tributos (R$)]]*Materiais[[#This Row],[IPI
(%)]]+Materiais[[#This Row],[Custo Total
Sem Tributos (R$)]]</f>
        <v>0</v>
      </c>
      <c r="L411" s="92">
        <v>0.1</v>
      </c>
      <c r="M411" s="76">
        <f>Materiais[[#This Row],[Custo Total
Com IPI (R$)]]/(1-Materiais[[#This Row],[Margem
(%)]])</f>
        <v>0</v>
      </c>
      <c r="N411" s="16">
        <f>Materiais[[#This Row],[Valor Venda c/ Potencial Desconto  em Material (R$)]]-Materiais[[#This Row],[Custo Total
Com IPI (R$)]]</f>
        <v>0</v>
      </c>
      <c r="O411" s="93">
        <f>Materiais[[#This Row],[Valor Total
Com Margem
Sem Tributos   (R$)]]/(1-('Valores Finais'!$C$10))</f>
        <v>0</v>
      </c>
      <c r="P411" s="93">
        <f>Materiais[[#This Row],[Valor Venda c/ Potencial Desconto  em Material (R$)]]/(1-('Valores Finais'!$B$6))</f>
        <v>0</v>
      </c>
      <c r="Q411" s="84">
        <f>'Valores Finais'!$B$10</f>
        <v>0.12</v>
      </c>
      <c r="R411" s="76">
        <f>Materiais[[#This Row],[Valor Venda c/ Comissões (R$)]]/(1-Materiais[[#This Row],[Tributos
(%)]])-Materiais[[#This Row],[Valor Venda c/ Comissões (R$)]]</f>
        <v>0</v>
      </c>
      <c r="S411" s="76">
        <f>Materiais[[#This Row],[Valor Venda c/ Comissões (R$)]]+Materiais[[#This Row],[Tributos
(R$)]]</f>
        <v>0</v>
      </c>
      <c r="T411" s="185"/>
      <c r="U411" s="186">
        <f ca="1">IF(Materiais[[#This Row],[Data Update]] = "",0,IF(_xlfn.DAYS(NOW(),Materiais[[#This Row],[Data Update]])&lt;=0,0,_xlfn.DAYS(NOW(),Materiais[[#This Row],[Data Update]])))</f>
        <v>0</v>
      </c>
    </row>
    <row r="412" spans="1:21" x14ac:dyDescent="0.2">
      <c r="A412" s="46"/>
      <c r="B412" s="46"/>
      <c r="C412" s="46"/>
      <c r="D412" s="46"/>
      <c r="E412" s="46"/>
      <c r="F412" s="138"/>
      <c r="G412" s="129"/>
      <c r="H412" s="180"/>
      <c r="I412" s="5">
        <f>(Materiais[[#This Row],[Qtde.]]*Materiais[[#This Row],[Custo Unitário
Sem Tributos (R$)]])</f>
        <v>0</v>
      </c>
      <c r="J412" s="92">
        <v>0</v>
      </c>
      <c r="K412" s="140">
        <f>Materiais[[#This Row],[Custo Total
Sem Tributos (R$)]]*Materiais[[#This Row],[IPI
(%)]]+Materiais[[#This Row],[Custo Total
Sem Tributos (R$)]]</f>
        <v>0</v>
      </c>
      <c r="L412" s="92">
        <v>0.1</v>
      </c>
      <c r="M412" s="76">
        <f>Materiais[[#This Row],[Custo Total
Com IPI (R$)]]/(1-Materiais[[#This Row],[Margem
(%)]])</f>
        <v>0</v>
      </c>
      <c r="N412" s="16">
        <f>Materiais[[#This Row],[Valor Venda c/ Potencial Desconto  em Material (R$)]]-Materiais[[#This Row],[Custo Total
Com IPI (R$)]]</f>
        <v>0</v>
      </c>
      <c r="O412" s="93">
        <f>Materiais[[#This Row],[Valor Total
Com Margem
Sem Tributos   (R$)]]/(1-('Valores Finais'!$C$10))</f>
        <v>0</v>
      </c>
      <c r="P412" s="93">
        <f>Materiais[[#This Row],[Valor Venda c/ Potencial Desconto  em Material (R$)]]/(1-('Valores Finais'!$B$6))</f>
        <v>0</v>
      </c>
      <c r="Q412" s="84">
        <f>'Valores Finais'!$B$10</f>
        <v>0.12</v>
      </c>
      <c r="R412" s="76">
        <f>Materiais[[#This Row],[Valor Venda c/ Comissões (R$)]]/(1-Materiais[[#This Row],[Tributos
(%)]])-Materiais[[#This Row],[Valor Venda c/ Comissões (R$)]]</f>
        <v>0</v>
      </c>
      <c r="S412" s="76">
        <f>Materiais[[#This Row],[Valor Venda c/ Comissões (R$)]]+Materiais[[#This Row],[Tributos
(R$)]]</f>
        <v>0</v>
      </c>
      <c r="T412" s="185"/>
      <c r="U412" s="186">
        <f ca="1">IF(Materiais[[#This Row],[Data Update]] = "",0,IF(_xlfn.DAYS(NOW(),Materiais[[#This Row],[Data Update]])&lt;=0,0,_xlfn.DAYS(NOW(),Materiais[[#This Row],[Data Update]])))</f>
        <v>0</v>
      </c>
    </row>
    <row r="413" spans="1:21" x14ac:dyDescent="0.2">
      <c r="A413" s="46"/>
      <c r="B413" s="46"/>
      <c r="C413" s="46"/>
      <c r="D413" s="46"/>
      <c r="E413" s="46"/>
      <c r="F413" s="138"/>
      <c r="G413" s="129"/>
      <c r="H413" s="180"/>
      <c r="I413" s="5">
        <f>(Materiais[[#This Row],[Qtde.]]*Materiais[[#This Row],[Custo Unitário
Sem Tributos (R$)]])</f>
        <v>0</v>
      </c>
      <c r="J413" s="92">
        <v>0</v>
      </c>
      <c r="K413" s="140">
        <f>Materiais[[#This Row],[Custo Total
Sem Tributos (R$)]]*Materiais[[#This Row],[IPI
(%)]]+Materiais[[#This Row],[Custo Total
Sem Tributos (R$)]]</f>
        <v>0</v>
      </c>
      <c r="L413" s="92">
        <v>0.1</v>
      </c>
      <c r="M413" s="76">
        <f>Materiais[[#This Row],[Custo Total
Com IPI (R$)]]/(1-Materiais[[#This Row],[Margem
(%)]])</f>
        <v>0</v>
      </c>
      <c r="N413" s="16">
        <f>Materiais[[#This Row],[Valor Venda c/ Potencial Desconto  em Material (R$)]]-Materiais[[#This Row],[Custo Total
Com IPI (R$)]]</f>
        <v>0</v>
      </c>
      <c r="O413" s="93">
        <f>Materiais[[#This Row],[Valor Total
Com Margem
Sem Tributos   (R$)]]/(1-('Valores Finais'!$C$10))</f>
        <v>0</v>
      </c>
      <c r="P413" s="93">
        <f>Materiais[[#This Row],[Valor Venda c/ Potencial Desconto  em Material (R$)]]/(1-('Valores Finais'!$B$6))</f>
        <v>0</v>
      </c>
      <c r="Q413" s="84">
        <f>'Valores Finais'!$B$10</f>
        <v>0.12</v>
      </c>
      <c r="R413" s="76">
        <f>Materiais[[#This Row],[Valor Venda c/ Comissões (R$)]]/(1-Materiais[[#This Row],[Tributos
(%)]])-Materiais[[#This Row],[Valor Venda c/ Comissões (R$)]]</f>
        <v>0</v>
      </c>
      <c r="S413" s="76">
        <f>Materiais[[#This Row],[Valor Venda c/ Comissões (R$)]]+Materiais[[#This Row],[Tributos
(R$)]]</f>
        <v>0</v>
      </c>
      <c r="T413" s="185"/>
      <c r="U413" s="186">
        <f ca="1">IF(Materiais[[#This Row],[Data Update]] = "",0,IF(_xlfn.DAYS(NOW(),Materiais[[#This Row],[Data Update]])&lt;=0,0,_xlfn.DAYS(NOW(),Materiais[[#This Row],[Data Update]])))</f>
        <v>0</v>
      </c>
    </row>
    <row r="414" spans="1:21" x14ac:dyDescent="0.2">
      <c r="A414" s="46"/>
      <c r="B414" s="46"/>
      <c r="C414" s="46"/>
      <c r="D414" s="46"/>
      <c r="E414" s="46"/>
      <c r="F414" s="138"/>
      <c r="G414" s="129"/>
      <c r="H414" s="180"/>
      <c r="I414" s="5">
        <f>(Materiais[[#This Row],[Qtde.]]*Materiais[[#This Row],[Custo Unitário
Sem Tributos (R$)]])</f>
        <v>0</v>
      </c>
      <c r="J414" s="92">
        <v>0</v>
      </c>
      <c r="K414" s="140">
        <f>Materiais[[#This Row],[Custo Total
Sem Tributos (R$)]]*Materiais[[#This Row],[IPI
(%)]]+Materiais[[#This Row],[Custo Total
Sem Tributos (R$)]]</f>
        <v>0</v>
      </c>
      <c r="L414" s="92">
        <v>0.1</v>
      </c>
      <c r="M414" s="76">
        <f>Materiais[[#This Row],[Custo Total
Com IPI (R$)]]/(1-Materiais[[#This Row],[Margem
(%)]])</f>
        <v>0</v>
      </c>
      <c r="N414" s="16">
        <f>Materiais[[#This Row],[Valor Venda c/ Potencial Desconto  em Material (R$)]]-Materiais[[#This Row],[Custo Total
Com IPI (R$)]]</f>
        <v>0</v>
      </c>
      <c r="O414" s="93">
        <f>Materiais[[#This Row],[Valor Total
Com Margem
Sem Tributos   (R$)]]/(1-('Valores Finais'!$C$10))</f>
        <v>0</v>
      </c>
      <c r="P414" s="93">
        <f>Materiais[[#This Row],[Valor Venda c/ Potencial Desconto  em Material (R$)]]/(1-('Valores Finais'!$B$6))</f>
        <v>0</v>
      </c>
      <c r="Q414" s="84">
        <f>'Valores Finais'!$B$10</f>
        <v>0.12</v>
      </c>
      <c r="R414" s="76">
        <f>Materiais[[#This Row],[Valor Venda c/ Comissões (R$)]]/(1-Materiais[[#This Row],[Tributos
(%)]])-Materiais[[#This Row],[Valor Venda c/ Comissões (R$)]]</f>
        <v>0</v>
      </c>
      <c r="S414" s="76">
        <f>Materiais[[#This Row],[Valor Venda c/ Comissões (R$)]]+Materiais[[#This Row],[Tributos
(R$)]]</f>
        <v>0</v>
      </c>
      <c r="T414" s="185"/>
      <c r="U414" s="186">
        <f ca="1">IF(Materiais[[#This Row],[Data Update]] = "",0,IF(_xlfn.DAYS(NOW(),Materiais[[#This Row],[Data Update]])&lt;=0,0,_xlfn.DAYS(NOW(),Materiais[[#This Row],[Data Update]])))</f>
        <v>0</v>
      </c>
    </row>
    <row r="415" spans="1:21" x14ac:dyDescent="0.2">
      <c r="A415" s="46"/>
      <c r="B415" s="46"/>
      <c r="C415" s="46"/>
      <c r="D415" s="46"/>
      <c r="E415" s="46"/>
      <c r="F415" s="138"/>
      <c r="G415" s="129"/>
      <c r="H415" s="180"/>
      <c r="I415" s="5">
        <f>(Materiais[[#This Row],[Qtde.]]*Materiais[[#This Row],[Custo Unitário
Sem Tributos (R$)]])</f>
        <v>0</v>
      </c>
      <c r="J415" s="92">
        <v>0</v>
      </c>
      <c r="K415" s="140">
        <f>Materiais[[#This Row],[Custo Total
Sem Tributos (R$)]]*Materiais[[#This Row],[IPI
(%)]]+Materiais[[#This Row],[Custo Total
Sem Tributos (R$)]]</f>
        <v>0</v>
      </c>
      <c r="L415" s="92">
        <v>0.1</v>
      </c>
      <c r="M415" s="76">
        <f>Materiais[[#This Row],[Custo Total
Com IPI (R$)]]/(1-Materiais[[#This Row],[Margem
(%)]])</f>
        <v>0</v>
      </c>
      <c r="N415" s="16">
        <f>Materiais[[#This Row],[Valor Venda c/ Potencial Desconto  em Material (R$)]]-Materiais[[#This Row],[Custo Total
Com IPI (R$)]]</f>
        <v>0</v>
      </c>
      <c r="O415" s="93">
        <f>Materiais[[#This Row],[Valor Total
Com Margem
Sem Tributos   (R$)]]/(1-('Valores Finais'!$C$10))</f>
        <v>0</v>
      </c>
      <c r="P415" s="93">
        <f>Materiais[[#This Row],[Valor Venda c/ Potencial Desconto  em Material (R$)]]/(1-('Valores Finais'!$B$6))</f>
        <v>0</v>
      </c>
      <c r="Q415" s="84">
        <f>'Valores Finais'!$B$10</f>
        <v>0.12</v>
      </c>
      <c r="R415" s="76">
        <f>Materiais[[#This Row],[Valor Venda c/ Comissões (R$)]]/(1-Materiais[[#This Row],[Tributos
(%)]])-Materiais[[#This Row],[Valor Venda c/ Comissões (R$)]]</f>
        <v>0</v>
      </c>
      <c r="S415" s="76">
        <f>Materiais[[#This Row],[Valor Venda c/ Comissões (R$)]]+Materiais[[#This Row],[Tributos
(R$)]]</f>
        <v>0</v>
      </c>
      <c r="T415" s="185"/>
      <c r="U415" s="186">
        <f ca="1">IF(Materiais[[#This Row],[Data Update]] = "",0,IF(_xlfn.DAYS(NOW(),Materiais[[#This Row],[Data Update]])&lt;=0,0,_xlfn.DAYS(NOW(),Materiais[[#This Row],[Data Update]])))</f>
        <v>0</v>
      </c>
    </row>
    <row r="416" spans="1:21" x14ac:dyDescent="0.2">
      <c r="A416" s="46"/>
      <c r="B416" s="46"/>
      <c r="C416" s="46"/>
      <c r="D416" s="46"/>
      <c r="E416" s="46"/>
      <c r="F416" s="138"/>
      <c r="G416" s="129"/>
      <c r="H416" s="180"/>
      <c r="I416" s="5">
        <f>(Materiais[[#This Row],[Qtde.]]*Materiais[[#This Row],[Custo Unitário
Sem Tributos (R$)]])</f>
        <v>0</v>
      </c>
      <c r="J416" s="92">
        <v>0</v>
      </c>
      <c r="K416" s="140">
        <f>Materiais[[#This Row],[Custo Total
Sem Tributos (R$)]]*Materiais[[#This Row],[IPI
(%)]]+Materiais[[#This Row],[Custo Total
Sem Tributos (R$)]]</f>
        <v>0</v>
      </c>
      <c r="L416" s="92">
        <v>0.1</v>
      </c>
      <c r="M416" s="76">
        <f>Materiais[[#This Row],[Custo Total
Com IPI (R$)]]/(1-Materiais[[#This Row],[Margem
(%)]])</f>
        <v>0</v>
      </c>
      <c r="N416" s="16">
        <f>Materiais[[#This Row],[Valor Venda c/ Potencial Desconto  em Material (R$)]]-Materiais[[#This Row],[Custo Total
Com IPI (R$)]]</f>
        <v>0</v>
      </c>
      <c r="O416" s="93">
        <f>Materiais[[#This Row],[Valor Total
Com Margem
Sem Tributos   (R$)]]/(1-('Valores Finais'!$C$10))</f>
        <v>0</v>
      </c>
      <c r="P416" s="93">
        <f>Materiais[[#This Row],[Valor Venda c/ Potencial Desconto  em Material (R$)]]/(1-('Valores Finais'!$B$6))</f>
        <v>0</v>
      </c>
      <c r="Q416" s="84">
        <f>'Valores Finais'!$B$10</f>
        <v>0.12</v>
      </c>
      <c r="R416" s="76">
        <f>Materiais[[#This Row],[Valor Venda c/ Comissões (R$)]]/(1-Materiais[[#This Row],[Tributos
(%)]])-Materiais[[#This Row],[Valor Venda c/ Comissões (R$)]]</f>
        <v>0</v>
      </c>
      <c r="S416" s="76">
        <f>Materiais[[#This Row],[Valor Venda c/ Comissões (R$)]]+Materiais[[#This Row],[Tributos
(R$)]]</f>
        <v>0</v>
      </c>
      <c r="T416" s="185"/>
      <c r="U416" s="186">
        <f ca="1">IF(Materiais[[#This Row],[Data Update]] = "",0,IF(_xlfn.DAYS(NOW(),Materiais[[#This Row],[Data Update]])&lt;=0,0,_xlfn.DAYS(NOW(),Materiais[[#This Row],[Data Update]])))</f>
        <v>0</v>
      </c>
    </row>
    <row r="417" spans="1:21" x14ac:dyDescent="0.2">
      <c r="A417" s="46"/>
      <c r="B417" s="46"/>
      <c r="C417" s="46"/>
      <c r="D417" s="46"/>
      <c r="E417" s="46"/>
      <c r="F417" s="138"/>
      <c r="G417" s="129"/>
      <c r="H417" s="180"/>
      <c r="I417" s="5">
        <f>(Materiais[[#This Row],[Qtde.]]*Materiais[[#This Row],[Custo Unitário
Sem Tributos (R$)]])</f>
        <v>0</v>
      </c>
      <c r="J417" s="92">
        <v>0</v>
      </c>
      <c r="K417" s="140">
        <f>Materiais[[#This Row],[Custo Total
Sem Tributos (R$)]]*Materiais[[#This Row],[IPI
(%)]]+Materiais[[#This Row],[Custo Total
Sem Tributos (R$)]]</f>
        <v>0</v>
      </c>
      <c r="L417" s="92">
        <v>0.1</v>
      </c>
      <c r="M417" s="76">
        <f>Materiais[[#This Row],[Custo Total
Com IPI (R$)]]/(1-Materiais[[#This Row],[Margem
(%)]])</f>
        <v>0</v>
      </c>
      <c r="N417" s="16">
        <f>Materiais[[#This Row],[Valor Venda c/ Potencial Desconto  em Material (R$)]]-Materiais[[#This Row],[Custo Total
Com IPI (R$)]]</f>
        <v>0</v>
      </c>
      <c r="O417" s="93">
        <f>Materiais[[#This Row],[Valor Total
Com Margem
Sem Tributos   (R$)]]/(1-('Valores Finais'!$C$10))</f>
        <v>0</v>
      </c>
      <c r="P417" s="93">
        <f>Materiais[[#This Row],[Valor Venda c/ Potencial Desconto  em Material (R$)]]/(1-('Valores Finais'!$B$6))</f>
        <v>0</v>
      </c>
      <c r="Q417" s="84">
        <f>'Valores Finais'!$B$10</f>
        <v>0.12</v>
      </c>
      <c r="R417" s="76">
        <f>Materiais[[#This Row],[Valor Venda c/ Comissões (R$)]]/(1-Materiais[[#This Row],[Tributos
(%)]])-Materiais[[#This Row],[Valor Venda c/ Comissões (R$)]]</f>
        <v>0</v>
      </c>
      <c r="S417" s="76">
        <f>Materiais[[#This Row],[Valor Venda c/ Comissões (R$)]]+Materiais[[#This Row],[Tributos
(R$)]]</f>
        <v>0</v>
      </c>
      <c r="T417" s="185"/>
      <c r="U417" s="186">
        <f ca="1">IF(Materiais[[#This Row],[Data Update]] = "",0,IF(_xlfn.DAYS(NOW(),Materiais[[#This Row],[Data Update]])&lt;=0,0,_xlfn.DAYS(NOW(),Materiais[[#This Row],[Data Update]])))</f>
        <v>0</v>
      </c>
    </row>
    <row r="418" spans="1:21" x14ac:dyDescent="0.2">
      <c r="A418" s="46"/>
      <c r="B418" s="46"/>
      <c r="C418" s="46"/>
      <c r="D418" s="46"/>
      <c r="E418" s="46"/>
      <c r="F418" s="138"/>
      <c r="G418" s="129"/>
      <c r="H418" s="180"/>
      <c r="I418" s="5">
        <f>(Materiais[[#This Row],[Qtde.]]*Materiais[[#This Row],[Custo Unitário
Sem Tributos (R$)]])</f>
        <v>0</v>
      </c>
      <c r="J418" s="92">
        <v>0</v>
      </c>
      <c r="K418" s="140">
        <f>Materiais[[#This Row],[Custo Total
Sem Tributos (R$)]]*Materiais[[#This Row],[IPI
(%)]]+Materiais[[#This Row],[Custo Total
Sem Tributos (R$)]]</f>
        <v>0</v>
      </c>
      <c r="L418" s="92">
        <v>0.1</v>
      </c>
      <c r="M418" s="76">
        <f>Materiais[[#This Row],[Custo Total
Com IPI (R$)]]/(1-Materiais[[#This Row],[Margem
(%)]])</f>
        <v>0</v>
      </c>
      <c r="N418" s="16">
        <f>Materiais[[#This Row],[Valor Venda c/ Potencial Desconto  em Material (R$)]]-Materiais[[#This Row],[Custo Total
Com IPI (R$)]]</f>
        <v>0</v>
      </c>
      <c r="O418" s="93">
        <f>Materiais[[#This Row],[Valor Total
Com Margem
Sem Tributos   (R$)]]/(1-('Valores Finais'!$C$10))</f>
        <v>0</v>
      </c>
      <c r="P418" s="93">
        <f>Materiais[[#This Row],[Valor Venda c/ Potencial Desconto  em Material (R$)]]/(1-('Valores Finais'!$B$6))</f>
        <v>0</v>
      </c>
      <c r="Q418" s="84">
        <f>'Valores Finais'!$B$10</f>
        <v>0.12</v>
      </c>
      <c r="R418" s="76">
        <f>Materiais[[#This Row],[Valor Venda c/ Comissões (R$)]]/(1-Materiais[[#This Row],[Tributos
(%)]])-Materiais[[#This Row],[Valor Venda c/ Comissões (R$)]]</f>
        <v>0</v>
      </c>
      <c r="S418" s="76">
        <f>Materiais[[#This Row],[Valor Venda c/ Comissões (R$)]]+Materiais[[#This Row],[Tributos
(R$)]]</f>
        <v>0</v>
      </c>
      <c r="T418" s="185"/>
      <c r="U418" s="186">
        <f ca="1">IF(Materiais[[#This Row],[Data Update]] = "",0,IF(_xlfn.DAYS(NOW(),Materiais[[#This Row],[Data Update]])&lt;=0,0,_xlfn.DAYS(NOW(),Materiais[[#This Row],[Data Update]])))</f>
        <v>0</v>
      </c>
    </row>
    <row r="419" spans="1:21" x14ac:dyDescent="0.2">
      <c r="A419" s="46"/>
      <c r="B419" s="46"/>
      <c r="C419" s="46"/>
      <c r="D419" s="46"/>
      <c r="E419" s="46"/>
      <c r="F419" s="138"/>
      <c r="G419" s="129"/>
      <c r="H419" s="180"/>
      <c r="I419" s="5">
        <f>(Materiais[[#This Row],[Qtde.]]*Materiais[[#This Row],[Custo Unitário
Sem Tributos (R$)]])</f>
        <v>0</v>
      </c>
      <c r="J419" s="92">
        <v>0</v>
      </c>
      <c r="K419" s="140">
        <f>Materiais[[#This Row],[Custo Total
Sem Tributos (R$)]]*Materiais[[#This Row],[IPI
(%)]]+Materiais[[#This Row],[Custo Total
Sem Tributos (R$)]]</f>
        <v>0</v>
      </c>
      <c r="L419" s="92">
        <v>0.1</v>
      </c>
      <c r="M419" s="76">
        <f>Materiais[[#This Row],[Custo Total
Com IPI (R$)]]/(1-Materiais[[#This Row],[Margem
(%)]])</f>
        <v>0</v>
      </c>
      <c r="N419" s="16">
        <f>Materiais[[#This Row],[Valor Venda c/ Potencial Desconto  em Material (R$)]]-Materiais[[#This Row],[Custo Total
Com IPI (R$)]]</f>
        <v>0</v>
      </c>
      <c r="O419" s="93">
        <f>Materiais[[#This Row],[Valor Total
Com Margem
Sem Tributos   (R$)]]/(1-('Valores Finais'!$C$10))</f>
        <v>0</v>
      </c>
      <c r="P419" s="93">
        <f>Materiais[[#This Row],[Valor Venda c/ Potencial Desconto  em Material (R$)]]/(1-('Valores Finais'!$B$6))</f>
        <v>0</v>
      </c>
      <c r="Q419" s="84">
        <f>'Valores Finais'!$B$10</f>
        <v>0.12</v>
      </c>
      <c r="R419" s="76">
        <f>Materiais[[#This Row],[Valor Venda c/ Comissões (R$)]]/(1-Materiais[[#This Row],[Tributos
(%)]])-Materiais[[#This Row],[Valor Venda c/ Comissões (R$)]]</f>
        <v>0</v>
      </c>
      <c r="S419" s="76">
        <f>Materiais[[#This Row],[Valor Venda c/ Comissões (R$)]]+Materiais[[#This Row],[Tributos
(R$)]]</f>
        <v>0</v>
      </c>
      <c r="T419" s="185"/>
      <c r="U419" s="186">
        <f ca="1">IF(Materiais[[#This Row],[Data Update]] = "",0,IF(_xlfn.DAYS(NOW(),Materiais[[#This Row],[Data Update]])&lt;=0,0,_xlfn.DAYS(NOW(),Materiais[[#This Row],[Data Update]])))</f>
        <v>0</v>
      </c>
    </row>
    <row r="420" spans="1:21" x14ac:dyDescent="0.2">
      <c r="A420" s="46"/>
      <c r="B420" s="46"/>
      <c r="C420" s="46"/>
      <c r="D420" s="46"/>
      <c r="E420" s="46"/>
      <c r="F420" s="138"/>
      <c r="G420" s="129"/>
      <c r="H420" s="180"/>
      <c r="I420" s="5">
        <f>(Materiais[[#This Row],[Qtde.]]*Materiais[[#This Row],[Custo Unitário
Sem Tributos (R$)]])</f>
        <v>0</v>
      </c>
      <c r="J420" s="92">
        <v>0</v>
      </c>
      <c r="K420" s="140">
        <f>Materiais[[#This Row],[Custo Total
Sem Tributos (R$)]]*Materiais[[#This Row],[IPI
(%)]]+Materiais[[#This Row],[Custo Total
Sem Tributos (R$)]]</f>
        <v>0</v>
      </c>
      <c r="L420" s="92">
        <v>0.1</v>
      </c>
      <c r="M420" s="76">
        <f>Materiais[[#This Row],[Custo Total
Com IPI (R$)]]/(1-Materiais[[#This Row],[Margem
(%)]])</f>
        <v>0</v>
      </c>
      <c r="N420" s="16">
        <f>Materiais[[#This Row],[Valor Venda c/ Potencial Desconto  em Material (R$)]]-Materiais[[#This Row],[Custo Total
Com IPI (R$)]]</f>
        <v>0</v>
      </c>
      <c r="O420" s="93">
        <f>Materiais[[#This Row],[Valor Total
Com Margem
Sem Tributos   (R$)]]/(1-('Valores Finais'!$C$10))</f>
        <v>0</v>
      </c>
      <c r="P420" s="93">
        <f>Materiais[[#This Row],[Valor Venda c/ Potencial Desconto  em Material (R$)]]/(1-('Valores Finais'!$B$6))</f>
        <v>0</v>
      </c>
      <c r="Q420" s="84">
        <f>'Valores Finais'!$B$10</f>
        <v>0.12</v>
      </c>
      <c r="R420" s="76">
        <f>Materiais[[#This Row],[Valor Venda c/ Comissões (R$)]]/(1-Materiais[[#This Row],[Tributos
(%)]])-Materiais[[#This Row],[Valor Venda c/ Comissões (R$)]]</f>
        <v>0</v>
      </c>
      <c r="S420" s="76">
        <f>Materiais[[#This Row],[Valor Venda c/ Comissões (R$)]]+Materiais[[#This Row],[Tributos
(R$)]]</f>
        <v>0</v>
      </c>
      <c r="T420" s="185"/>
      <c r="U420" s="186">
        <f ca="1">IF(Materiais[[#This Row],[Data Update]] = "",0,IF(_xlfn.DAYS(NOW(),Materiais[[#This Row],[Data Update]])&lt;=0,0,_xlfn.DAYS(NOW(),Materiais[[#This Row],[Data Update]])))</f>
        <v>0</v>
      </c>
    </row>
    <row r="421" spans="1:21" x14ac:dyDescent="0.2">
      <c r="A421" s="46"/>
      <c r="B421" s="46"/>
      <c r="C421" s="46"/>
      <c r="D421" s="46"/>
      <c r="E421" s="46"/>
      <c r="F421" s="138"/>
      <c r="G421" s="129"/>
      <c r="H421" s="180"/>
      <c r="I421" s="5">
        <f>(Materiais[[#This Row],[Qtde.]]*Materiais[[#This Row],[Custo Unitário
Sem Tributos (R$)]])</f>
        <v>0</v>
      </c>
      <c r="J421" s="92">
        <v>0</v>
      </c>
      <c r="K421" s="140">
        <f>Materiais[[#This Row],[Custo Total
Sem Tributos (R$)]]*Materiais[[#This Row],[IPI
(%)]]+Materiais[[#This Row],[Custo Total
Sem Tributos (R$)]]</f>
        <v>0</v>
      </c>
      <c r="L421" s="92">
        <v>0.1</v>
      </c>
      <c r="M421" s="76">
        <f>Materiais[[#This Row],[Custo Total
Com IPI (R$)]]/(1-Materiais[[#This Row],[Margem
(%)]])</f>
        <v>0</v>
      </c>
      <c r="N421" s="16">
        <f>Materiais[[#This Row],[Valor Venda c/ Potencial Desconto  em Material (R$)]]-Materiais[[#This Row],[Custo Total
Com IPI (R$)]]</f>
        <v>0</v>
      </c>
      <c r="O421" s="93">
        <f>Materiais[[#This Row],[Valor Total
Com Margem
Sem Tributos   (R$)]]/(1-('Valores Finais'!$C$10))</f>
        <v>0</v>
      </c>
      <c r="P421" s="93">
        <f>Materiais[[#This Row],[Valor Venda c/ Potencial Desconto  em Material (R$)]]/(1-('Valores Finais'!$B$6))</f>
        <v>0</v>
      </c>
      <c r="Q421" s="84">
        <f>'Valores Finais'!$B$10</f>
        <v>0.12</v>
      </c>
      <c r="R421" s="76">
        <f>Materiais[[#This Row],[Valor Venda c/ Comissões (R$)]]/(1-Materiais[[#This Row],[Tributos
(%)]])-Materiais[[#This Row],[Valor Venda c/ Comissões (R$)]]</f>
        <v>0</v>
      </c>
      <c r="S421" s="76">
        <f>Materiais[[#This Row],[Valor Venda c/ Comissões (R$)]]+Materiais[[#This Row],[Tributos
(R$)]]</f>
        <v>0</v>
      </c>
      <c r="T421" s="185"/>
      <c r="U421" s="186">
        <f ca="1">IF(Materiais[[#This Row],[Data Update]] = "",0,IF(_xlfn.DAYS(NOW(),Materiais[[#This Row],[Data Update]])&lt;=0,0,_xlfn.DAYS(NOW(),Materiais[[#This Row],[Data Update]])))</f>
        <v>0</v>
      </c>
    </row>
    <row r="422" spans="1:21" x14ac:dyDescent="0.2">
      <c r="A422" s="46"/>
      <c r="B422" s="46"/>
      <c r="C422" s="46"/>
      <c r="D422" s="46"/>
      <c r="E422" s="46"/>
      <c r="F422" s="138"/>
      <c r="G422" s="129"/>
      <c r="H422" s="180"/>
      <c r="I422" s="5">
        <f>(Materiais[[#This Row],[Qtde.]]*Materiais[[#This Row],[Custo Unitário
Sem Tributos (R$)]])</f>
        <v>0</v>
      </c>
      <c r="J422" s="92">
        <v>0</v>
      </c>
      <c r="K422" s="140">
        <f>Materiais[[#This Row],[Custo Total
Sem Tributos (R$)]]*Materiais[[#This Row],[IPI
(%)]]+Materiais[[#This Row],[Custo Total
Sem Tributos (R$)]]</f>
        <v>0</v>
      </c>
      <c r="L422" s="92">
        <v>0.1</v>
      </c>
      <c r="M422" s="76">
        <f>Materiais[[#This Row],[Custo Total
Com IPI (R$)]]/(1-Materiais[[#This Row],[Margem
(%)]])</f>
        <v>0</v>
      </c>
      <c r="N422" s="16">
        <f>Materiais[[#This Row],[Valor Venda c/ Potencial Desconto  em Material (R$)]]-Materiais[[#This Row],[Custo Total
Com IPI (R$)]]</f>
        <v>0</v>
      </c>
      <c r="O422" s="93">
        <f>Materiais[[#This Row],[Valor Total
Com Margem
Sem Tributos   (R$)]]/(1-('Valores Finais'!$C$10))</f>
        <v>0</v>
      </c>
      <c r="P422" s="93">
        <f>Materiais[[#This Row],[Valor Venda c/ Potencial Desconto  em Material (R$)]]/(1-('Valores Finais'!$B$6))</f>
        <v>0</v>
      </c>
      <c r="Q422" s="84">
        <f>'Valores Finais'!$B$10</f>
        <v>0.12</v>
      </c>
      <c r="R422" s="76">
        <f>Materiais[[#This Row],[Valor Venda c/ Comissões (R$)]]/(1-Materiais[[#This Row],[Tributos
(%)]])-Materiais[[#This Row],[Valor Venda c/ Comissões (R$)]]</f>
        <v>0</v>
      </c>
      <c r="S422" s="76">
        <f>Materiais[[#This Row],[Valor Venda c/ Comissões (R$)]]+Materiais[[#This Row],[Tributos
(R$)]]</f>
        <v>0</v>
      </c>
      <c r="T422" s="185"/>
      <c r="U422" s="186">
        <f ca="1">IF(Materiais[[#This Row],[Data Update]] = "",0,IF(_xlfn.DAYS(NOW(),Materiais[[#This Row],[Data Update]])&lt;=0,0,_xlfn.DAYS(NOW(),Materiais[[#This Row],[Data Update]])))</f>
        <v>0</v>
      </c>
    </row>
    <row r="423" spans="1:21" x14ac:dyDescent="0.2">
      <c r="A423" s="46"/>
      <c r="B423" s="46"/>
      <c r="C423" s="46"/>
      <c r="D423" s="46"/>
      <c r="E423" s="46"/>
      <c r="F423" s="138"/>
      <c r="G423" s="129"/>
      <c r="H423" s="180"/>
      <c r="I423" s="5">
        <f>(Materiais[[#This Row],[Qtde.]]*Materiais[[#This Row],[Custo Unitário
Sem Tributos (R$)]])</f>
        <v>0</v>
      </c>
      <c r="J423" s="92">
        <v>0</v>
      </c>
      <c r="K423" s="140">
        <f>Materiais[[#This Row],[Custo Total
Sem Tributos (R$)]]*Materiais[[#This Row],[IPI
(%)]]+Materiais[[#This Row],[Custo Total
Sem Tributos (R$)]]</f>
        <v>0</v>
      </c>
      <c r="L423" s="92">
        <v>0.1</v>
      </c>
      <c r="M423" s="76">
        <f>Materiais[[#This Row],[Custo Total
Com IPI (R$)]]/(1-Materiais[[#This Row],[Margem
(%)]])</f>
        <v>0</v>
      </c>
      <c r="N423" s="16">
        <f>Materiais[[#This Row],[Valor Venda c/ Potencial Desconto  em Material (R$)]]-Materiais[[#This Row],[Custo Total
Com IPI (R$)]]</f>
        <v>0</v>
      </c>
      <c r="O423" s="93">
        <f>Materiais[[#This Row],[Valor Total
Com Margem
Sem Tributos   (R$)]]/(1-('Valores Finais'!$C$10))</f>
        <v>0</v>
      </c>
      <c r="P423" s="93">
        <f>Materiais[[#This Row],[Valor Venda c/ Potencial Desconto  em Material (R$)]]/(1-('Valores Finais'!$B$6))</f>
        <v>0</v>
      </c>
      <c r="Q423" s="84">
        <f>'Valores Finais'!$B$10</f>
        <v>0.12</v>
      </c>
      <c r="R423" s="76">
        <f>Materiais[[#This Row],[Valor Venda c/ Comissões (R$)]]/(1-Materiais[[#This Row],[Tributos
(%)]])-Materiais[[#This Row],[Valor Venda c/ Comissões (R$)]]</f>
        <v>0</v>
      </c>
      <c r="S423" s="76">
        <f>Materiais[[#This Row],[Valor Venda c/ Comissões (R$)]]+Materiais[[#This Row],[Tributos
(R$)]]</f>
        <v>0</v>
      </c>
      <c r="T423" s="185"/>
      <c r="U423" s="186">
        <f ca="1">IF(Materiais[[#This Row],[Data Update]] = "",0,IF(_xlfn.DAYS(NOW(),Materiais[[#This Row],[Data Update]])&lt;=0,0,_xlfn.DAYS(NOW(),Materiais[[#This Row],[Data Update]])))</f>
        <v>0</v>
      </c>
    </row>
    <row r="424" spans="1:21" x14ac:dyDescent="0.2">
      <c r="A424" s="46"/>
      <c r="B424" s="46"/>
      <c r="C424" s="46"/>
      <c r="D424" s="46"/>
      <c r="E424" s="46"/>
      <c r="F424" s="138"/>
      <c r="G424" s="129"/>
      <c r="H424" s="180"/>
      <c r="I424" s="5">
        <f>(Materiais[[#This Row],[Qtde.]]*Materiais[[#This Row],[Custo Unitário
Sem Tributos (R$)]])</f>
        <v>0</v>
      </c>
      <c r="J424" s="92">
        <v>0</v>
      </c>
      <c r="K424" s="140">
        <f>Materiais[[#This Row],[Custo Total
Sem Tributos (R$)]]*Materiais[[#This Row],[IPI
(%)]]+Materiais[[#This Row],[Custo Total
Sem Tributos (R$)]]</f>
        <v>0</v>
      </c>
      <c r="L424" s="92">
        <v>0.1</v>
      </c>
      <c r="M424" s="76">
        <f>Materiais[[#This Row],[Custo Total
Com IPI (R$)]]/(1-Materiais[[#This Row],[Margem
(%)]])</f>
        <v>0</v>
      </c>
      <c r="N424" s="16">
        <f>Materiais[[#This Row],[Valor Venda c/ Potencial Desconto  em Material (R$)]]-Materiais[[#This Row],[Custo Total
Com IPI (R$)]]</f>
        <v>0</v>
      </c>
      <c r="O424" s="93">
        <f>Materiais[[#This Row],[Valor Total
Com Margem
Sem Tributos   (R$)]]/(1-('Valores Finais'!$C$10))</f>
        <v>0</v>
      </c>
      <c r="P424" s="93">
        <f>Materiais[[#This Row],[Valor Venda c/ Potencial Desconto  em Material (R$)]]/(1-('Valores Finais'!$B$6))</f>
        <v>0</v>
      </c>
      <c r="Q424" s="84">
        <f>'Valores Finais'!$B$10</f>
        <v>0.12</v>
      </c>
      <c r="R424" s="76">
        <f>Materiais[[#This Row],[Valor Venda c/ Comissões (R$)]]/(1-Materiais[[#This Row],[Tributos
(%)]])-Materiais[[#This Row],[Valor Venda c/ Comissões (R$)]]</f>
        <v>0</v>
      </c>
      <c r="S424" s="76">
        <f>Materiais[[#This Row],[Valor Venda c/ Comissões (R$)]]+Materiais[[#This Row],[Tributos
(R$)]]</f>
        <v>0</v>
      </c>
      <c r="T424" s="185"/>
      <c r="U424" s="186">
        <f ca="1">IF(Materiais[[#This Row],[Data Update]] = "",0,IF(_xlfn.DAYS(NOW(),Materiais[[#This Row],[Data Update]])&lt;=0,0,_xlfn.DAYS(NOW(),Materiais[[#This Row],[Data Update]])))</f>
        <v>0</v>
      </c>
    </row>
    <row r="425" spans="1:21" x14ac:dyDescent="0.2">
      <c r="A425" s="46"/>
      <c r="B425" s="46"/>
      <c r="C425" s="46"/>
      <c r="D425" s="46"/>
      <c r="E425" s="46"/>
      <c r="F425" s="138"/>
      <c r="G425" s="129"/>
      <c r="H425" s="180"/>
      <c r="I425" s="5">
        <f>(Materiais[[#This Row],[Qtde.]]*Materiais[[#This Row],[Custo Unitário
Sem Tributos (R$)]])</f>
        <v>0</v>
      </c>
      <c r="J425" s="92">
        <v>0</v>
      </c>
      <c r="K425" s="140">
        <f>Materiais[[#This Row],[Custo Total
Sem Tributos (R$)]]*Materiais[[#This Row],[IPI
(%)]]+Materiais[[#This Row],[Custo Total
Sem Tributos (R$)]]</f>
        <v>0</v>
      </c>
      <c r="L425" s="92">
        <v>0.1</v>
      </c>
      <c r="M425" s="76">
        <f>Materiais[[#This Row],[Custo Total
Com IPI (R$)]]/(1-Materiais[[#This Row],[Margem
(%)]])</f>
        <v>0</v>
      </c>
      <c r="N425" s="16">
        <f>Materiais[[#This Row],[Valor Venda c/ Potencial Desconto  em Material (R$)]]-Materiais[[#This Row],[Custo Total
Com IPI (R$)]]</f>
        <v>0</v>
      </c>
      <c r="O425" s="93">
        <f>Materiais[[#This Row],[Valor Total
Com Margem
Sem Tributos   (R$)]]/(1-('Valores Finais'!$C$10))</f>
        <v>0</v>
      </c>
      <c r="P425" s="93">
        <f>Materiais[[#This Row],[Valor Venda c/ Potencial Desconto  em Material (R$)]]/(1-('Valores Finais'!$B$6))</f>
        <v>0</v>
      </c>
      <c r="Q425" s="84">
        <f>'Valores Finais'!$B$10</f>
        <v>0.12</v>
      </c>
      <c r="R425" s="76">
        <f>Materiais[[#This Row],[Valor Venda c/ Comissões (R$)]]/(1-Materiais[[#This Row],[Tributos
(%)]])-Materiais[[#This Row],[Valor Venda c/ Comissões (R$)]]</f>
        <v>0</v>
      </c>
      <c r="S425" s="76">
        <f>Materiais[[#This Row],[Valor Venda c/ Comissões (R$)]]+Materiais[[#This Row],[Tributos
(R$)]]</f>
        <v>0</v>
      </c>
      <c r="T425" s="185"/>
      <c r="U425" s="186">
        <f ca="1">IF(Materiais[[#This Row],[Data Update]] = "",0,IF(_xlfn.DAYS(NOW(),Materiais[[#This Row],[Data Update]])&lt;=0,0,_xlfn.DAYS(NOW(),Materiais[[#This Row],[Data Update]])))</f>
        <v>0</v>
      </c>
    </row>
    <row r="426" spans="1:21" x14ac:dyDescent="0.2">
      <c r="A426" s="46"/>
      <c r="B426" s="46"/>
      <c r="C426" s="46"/>
      <c r="D426" s="46"/>
      <c r="E426" s="46"/>
      <c r="F426" s="138"/>
      <c r="G426" s="129"/>
      <c r="H426" s="180"/>
      <c r="I426" s="5">
        <f>(Materiais[[#This Row],[Qtde.]]*Materiais[[#This Row],[Custo Unitário
Sem Tributos (R$)]])</f>
        <v>0</v>
      </c>
      <c r="J426" s="92">
        <v>0</v>
      </c>
      <c r="K426" s="140">
        <f>Materiais[[#This Row],[Custo Total
Sem Tributos (R$)]]*Materiais[[#This Row],[IPI
(%)]]+Materiais[[#This Row],[Custo Total
Sem Tributos (R$)]]</f>
        <v>0</v>
      </c>
      <c r="L426" s="92">
        <v>0.1</v>
      </c>
      <c r="M426" s="76">
        <f>Materiais[[#This Row],[Custo Total
Com IPI (R$)]]/(1-Materiais[[#This Row],[Margem
(%)]])</f>
        <v>0</v>
      </c>
      <c r="N426" s="16">
        <f>Materiais[[#This Row],[Valor Venda c/ Potencial Desconto  em Material (R$)]]-Materiais[[#This Row],[Custo Total
Com IPI (R$)]]</f>
        <v>0</v>
      </c>
      <c r="O426" s="93">
        <f>Materiais[[#This Row],[Valor Total
Com Margem
Sem Tributos   (R$)]]/(1-('Valores Finais'!$C$10))</f>
        <v>0</v>
      </c>
      <c r="P426" s="93">
        <f>Materiais[[#This Row],[Valor Venda c/ Potencial Desconto  em Material (R$)]]/(1-('Valores Finais'!$B$6))</f>
        <v>0</v>
      </c>
      <c r="Q426" s="84">
        <f>'Valores Finais'!$B$10</f>
        <v>0.12</v>
      </c>
      <c r="R426" s="76">
        <f>Materiais[[#This Row],[Valor Venda c/ Comissões (R$)]]/(1-Materiais[[#This Row],[Tributos
(%)]])-Materiais[[#This Row],[Valor Venda c/ Comissões (R$)]]</f>
        <v>0</v>
      </c>
      <c r="S426" s="76">
        <f>Materiais[[#This Row],[Valor Venda c/ Comissões (R$)]]+Materiais[[#This Row],[Tributos
(R$)]]</f>
        <v>0</v>
      </c>
      <c r="T426" s="185"/>
      <c r="U426" s="186">
        <f ca="1">IF(Materiais[[#This Row],[Data Update]] = "",0,IF(_xlfn.DAYS(NOW(),Materiais[[#This Row],[Data Update]])&lt;=0,0,_xlfn.DAYS(NOW(),Materiais[[#This Row],[Data Update]])))</f>
        <v>0</v>
      </c>
    </row>
    <row r="427" spans="1:21" x14ac:dyDescent="0.2">
      <c r="A427" s="46"/>
      <c r="B427" s="46"/>
      <c r="C427" s="46"/>
      <c r="D427" s="46"/>
      <c r="E427" s="46"/>
      <c r="F427" s="138"/>
      <c r="G427" s="129"/>
      <c r="H427" s="180"/>
      <c r="I427" s="5">
        <f>(Materiais[[#This Row],[Qtde.]]*Materiais[[#This Row],[Custo Unitário
Sem Tributos (R$)]])</f>
        <v>0</v>
      </c>
      <c r="J427" s="92">
        <v>0</v>
      </c>
      <c r="K427" s="140">
        <f>Materiais[[#This Row],[Custo Total
Sem Tributos (R$)]]*Materiais[[#This Row],[IPI
(%)]]+Materiais[[#This Row],[Custo Total
Sem Tributos (R$)]]</f>
        <v>0</v>
      </c>
      <c r="L427" s="92">
        <v>0.1</v>
      </c>
      <c r="M427" s="76">
        <f>Materiais[[#This Row],[Custo Total
Com IPI (R$)]]/(1-Materiais[[#This Row],[Margem
(%)]])</f>
        <v>0</v>
      </c>
      <c r="N427" s="16">
        <f>Materiais[[#This Row],[Valor Venda c/ Potencial Desconto  em Material (R$)]]-Materiais[[#This Row],[Custo Total
Com IPI (R$)]]</f>
        <v>0</v>
      </c>
      <c r="O427" s="93">
        <f>Materiais[[#This Row],[Valor Total
Com Margem
Sem Tributos   (R$)]]/(1-('Valores Finais'!$C$10))</f>
        <v>0</v>
      </c>
      <c r="P427" s="93">
        <f>Materiais[[#This Row],[Valor Venda c/ Potencial Desconto  em Material (R$)]]/(1-('Valores Finais'!$B$6))</f>
        <v>0</v>
      </c>
      <c r="Q427" s="84">
        <f>'Valores Finais'!$B$10</f>
        <v>0.12</v>
      </c>
      <c r="R427" s="76">
        <f>Materiais[[#This Row],[Valor Venda c/ Comissões (R$)]]/(1-Materiais[[#This Row],[Tributos
(%)]])-Materiais[[#This Row],[Valor Venda c/ Comissões (R$)]]</f>
        <v>0</v>
      </c>
      <c r="S427" s="76">
        <f>Materiais[[#This Row],[Valor Venda c/ Comissões (R$)]]+Materiais[[#This Row],[Tributos
(R$)]]</f>
        <v>0</v>
      </c>
      <c r="T427" s="185"/>
      <c r="U427" s="186">
        <f ca="1">IF(Materiais[[#This Row],[Data Update]] = "",0,IF(_xlfn.DAYS(NOW(),Materiais[[#This Row],[Data Update]])&lt;=0,0,_xlfn.DAYS(NOW(),Materiais[[#This Row],[Data Update]])))</f>
        <v>0</v>
      </c>
    </row>
    <row r="428" spans="1:21" x14ac:dyDescent="0.2">
      <c r="A428" s="46"/>
      <c r="B428" s="46"/>
      <c r="C428" s="46"/>
      <c r="D428" s="46"/>
      <c r="E428" s="46"/>
      <c r="F428" s="138"/>
      <c r="G428" s="129"/>
      <c r="H428" s="180"/>
      <c r="I428" s="5">
        <f>(Materiais[[#This Row],[Qtde.]]*Materiais[[#This Row],[Custo Unitário
Sem Tributos (R$)]])</f>
        <v>0</v>
      </c>
      <c r="J428" s="92">
        <v>0</v>
      </c>
      <c r="K428" s="140">
        <f>Materiais[[#This Row],[Custo Total
Sem Tributos (R$)]]*Materiais[[#This Row],[IPI
(%)]]+Materiais[[#This Row],[Custo Total
Sem Tributos (R$)]]</f>
        <v>0</v>
      </c>
      <c r="L428" s="92">
        <v>0.1</v>
      </c>
      <c r="M428" s="76">
        <f>Materiais[[#This Row],[Custo Total
Com IPI (R$)]]/(1-Materiais[[#This Row],[Margem
(%)]])</f>
        <v>0</v>
      </c>
      <c r="N428" s="16">
        <f>Materiais[[#This Row],[Valor Venda c/ Potencial Desconto  em Material (R$)]]-Materiais[[#This Row],[Custo Total
Com IPI (R$)]]</f>
        <v>0</v>
      </c>
      <c r="O428" s="93">
        <f>Materiais[[#This Row],[Valor Total
Com Margem
Sem Tributos   (R$)]]/(1-('Valores Finais'!$C$10))</f>
        <v>0</v>
      </c>
      <c r="P428" s="93">
        <f>Materiais[[#This Row],[Valor Venda c/ Potencial Desconto  em Material (R$)]]/(1-('Valores Finais'!$B$6))</f>
        <v>0</v>
      </c>
      <c r="Q428" s="84">
        <f>'Valores Finais'!$B$10</f>
        <v>0.12</v>
      </c>
      <c r="R428" s="76">
        <f>Materiais[[#This Row],[Valor Venda c/ Comissões (R$)]]/(1-Materiais[[#This Row],[Tributos
(%)]])-Materiais[[#This Row],[Valor Venda c/ Comissões (R$)]]</f>
        <v>0</v>
      </c>
      <c r="S428" s="76">
        <f>Materiais[[#This Row],[Valor Venda c/ Comissões (R$)]]+Materiais[[#This Row],[Tributos
(R$)]]</f>
        <v>0</v>
      </c>
      <c r="T428" s="185"/>
      <c r="U428" s="186">
        <f ca="1">IF(Materiais[[#This Row],[Data Update]] = "",0,IF(_xlfn.DAYS(NOW(),Materiais[[#This Row],[Data Update]])&lt;=0,0,_xlfn.DAYS(NOW(),Materiais[[#This Row],[Data Update]])))</f>
        <v>0</v>
      </c>
    </row>
    <row r="429" spans="1:21" x14ac:dyDescent="0.2">
      <c r="A429" s="46"/>
      <c r="B429" s="46"/>
      <c r="C429" s="46"/>
      <c r="D429" s="46"/>
      <c r="E429" s="46"/>
      <c r="F429" s="138"/>
      <c r="G429" s="129"/>
      <c r="H429" s="180"/>
      <c r="I429" s="5">
        <f>(Materiais[[#This Row],[Qtde.]]*Materiais[[#This Row],[Custo Unitário
Sem Tributos (R$)]])</f>
        <v>0</v>
      </c>
      <c r="J429" s="92">
        <v>0</v>
      </c>
      <c r="K429" s="140">
        <f>Materiais[[#This Row],[Custo Total
Sem Tributos (R$)]]*Materiais[[#This Row],[IPI
(%)]]+Materiais[[#This Row],[Custo Total
Sem Tributos (R$)]]</f>
        <v>0</v>
      </c>
      <c r="L429" s="92">
        <v>0.1</v>
      </c>
      <c r="M429" s="76">
        <f>Materiais[[#This Row],[Custo Total
Com IPI (R$)]]/(1-Materiais[[#This Row],[Margem
(%)]])</f>
        <v>0</v>
      </c>
      <c r="N429" s="16">
        <f>Materiais[[#This Row],[Valor Venda c/ Potencial Desconto  em Material (R$)]]-Materiais[[#This Row],[Custo Total
Com IPI (R$)]]</f>
        <v>0</v>
      </c>
      <c r="O429" s="93">
        <f>Materiais[[#This Row],[Valor Total
Com Margem
Sem Tributos   (R$)]]/(1-('Valores Finais'!$C$10))</f>
        <v>0</v>
      </c>
      <c r="P429" s="93">
        <f>Materiais[[#This Row],[Valor Venda c/ Potencial Desconto  em Material (R$)]]/(1-('Valores Finais'!$B$6))</f>
        <v>0</v>
      </c>
      <c r="Q429" s="84">
        <f>'Valores Finais'!$B$10</f>
        <v>0.12</v>
      </c>
      <c r="R429" s="76">
        <f>Materiais[[#This Row],[Valor Venda c/ Comissões (R$)]]/(1-Materiais[[#This Row],[Tributos
(%)]])-Materiais[[#This Row],[Valor Venda c/ Comissões (R$)]]</f>
        <v>0</v>
      </c>
      <c r="S429" s="76">
        <f>Materiais[[#This Row],[Valor Venda c/ Comissões (R$)]]+Materiais[[#This Row],[Tributos
(R$)]]</f>
        <v>0</v>
      </c>
      <c r="T429" s="185"/>
      <c r="U429" s="186">
        <f ca="1">IF(Materiais[[#This Row],[Data Update]] = "",0,IF(_xlfn.DAYS(NOW(),Materiais[[#This Row],[Data Update]])&lt;=0,0,_xlfn.DAYS(NOW(),Materiais[[#This Row],[Data Update]])))</f>
        <v>0</v>
      </c>
    </row>
    <row r="430" spans="1:21" x14ac:dyDescent="0.2">
      <c r="A430" s="46"/>
      <c r="B430" s="46"/>
      <c r="C430" s="46"/>
      <c r="D430" s="46"/>
      <c r="E430" s="46"/>
      <c r="F430" s="138"/>
      <c r="G430" s="129"/>
      <c r="H430" s="180"/>
      <c r="I430" s="5">
        <f>(Materiais[[#This Row],[Qtde.]]*Materiais[[#This Row],[Custo Unitário
Sem Tributos (R$)]])</f>
        <v>0</v>
      </c>
      <c r="J430" s="92">
        <v>0</v>
      </c>
      <c r="K430" s="140">
        <f>Materiais[[#This Row],[Custo Total
Sem Tributos (R$)]]*Materiais[[#This Row],[IPI
(%)]]+Materiais[[#This Row],[Custo Total
Sem Tributos (R$)]]</f>
        <v>0</v>
      </c>
      <c r="L430" s="92">
        <v>0.1</v>
      </c>
      <c r="M430" s="76">
        <f>Materiais[[#This Row],[Custo Total
Com IPI (R$)]]/(1-Materiais[[#This Row],[Margem
(%)]])</f>
        <v>0</v>
      </c>
      <c r="N430" s="16">
        <f>Materiais[[#This Row],[Valor Venda c/ Potencial Desconto  em Material (R$)]]-Materiais[[#This Row],[Custo Total
Com IPI (R$)]]</f>
        <v>0</v>
      </c>
      <c r="O430" s="93">
        <f>Materiais[[#This Row],[Valor Total
Com Margem
Sem Tributos   (R$)]]/(1-('Valores Finais'!$C$10))</f>
        <v>0</v>
      </c>
      <c r="P430" s="93">
        <f>Materiais[[#This Row],[Valor Venda c/ Potencial Desconto  em Material (R$)]]/(1-('Valores Finais'!$B$6))</f>
        <v>0</v>
      </c>
      <c r="Q430" s="84">
        <f>'Valores Finais'!$B$10</f>
        <v>0.12</v>
      </c>
      <c r="R430" s="76">
        <f>Materiais[[#This Row],[Valor Venda c/ Comissões (R$)]]/(1-Materiais[[#This Row],[Tributos
(%)]])-Materiais[[#This Row],[Valor Venda c/ Comissões (R$)]]</f>
        <v>0</v>
      </c>
      <c r="S430" s="76">
        <f>Materiais[[#This Row],[Valor Venda c/ Comissões (R$)]]+Materiais[[#This Row],[Tributos
(R$)]]</f>
        <v>0</v>
      </c>
      <c r="T430" s="185"/>
      <c r="U430" s="186">
        <f ca="1">IF(Materiais[[#This Row],[Data Update]] = "",0,IF(_xlfn.DAYS(NOW(),Materiais[[#This Row],[Data Update]])&lt;=0,0,_xlfn.DAYS(NOW(),Materiais[[#This Row],[Data Update]])))</f>
        <v>0</v>
      </c>
    </row>
    <row r="431" spans="1:21" x14ac:dyDescent="0.2">
      <c r="A431" s="46"/>
      <c r="B431" s="46"/>
      <c r="C431" s="46"/>
      <c r="D431" s="46"/>
      <c r="E431" s="46"/>
      <c r="F431" s="138"/>
      <c r="G431" s="129"/>
      <c r="H431" s="180"/>
      <c r="I431" s="5">
        <f>(Materiais[[#This Row],[Qtde.]]*Materiais[[#This Row],[Custo Unitário
Sem Tributos (R$)]])</f>
        <v>0</v>
      </c>
      <c r="J431" s="92">
        <v>0</v>
      </c>
      <c r="K431" s="140">
        <f>Materiais[[#This Row],[Custo Total
Sem Tributos (R$)]]*Materiais[[#This Row],[IPI
(%)]]+Materiais[[#This Row],[Custo Total
Sem Tributos (R$)]]</f>
        <v>0</v>
      </c>
      <c r="L431" s="92">
        <v>0.1</v>
      </c>
      <c r="M431" s="76">
        <f>Materiais[[#This Row],[Custo Total
Com IPI (R$)]]/(1-Materiais[[#This Row],[Margem
(%)]])</f>
        <v>0</v>
      </c>
      <c r="N431" s="16">
        <f>Materiais[[#This Row],[Valor Venda c/ Potencial Desconto  em Material (R$)]]-Materiais[[#This Row],[Custo Total
Com IPI (R$)]]</f>
        <v>0</v>
      </c>
      <c r="O431" s="93">
        <f>Materiais[[#This Row],[Valor Total
Com Margem
Sem Tributos   (R$)]]/(1-('Valores Finais'!$C$10))</f>
        <v>0</v>
      </c>
      <c r="P431" s="93">
        <f>Materiais[[#This Row],[Valor Venda c/ Potencial Desconto  em Material (R$)]]/(1-('Valores Finais'!$B$6))</f>
        <v>0</v>
      </c>
      <c r="Q431" s="84">
        <f>'Valores Finais'!$B$10</f>
        <v>0.12</v>
      </c>
      <c r="R431" s="76">
        <f>Materiais[[#This Row],[Valor Venda c/ Comissões (R$)]]/(1-Materiais[[#This Row],[Tributos
(%)]])-Materiais[[#This Row],[Valor Venda c/ Comissões (R$)]]</f>
        <v>0</v>
      </c>
      <c r="S431" s="76">
        <f>Materiais[[#This Row],[Valor Venda c/ Comissões (R$)]]+Materiais[[#This Row],[Tributos
(R$)]]</f>
        <v>0</v>
      </c>
      <c r="T431" s="185"/>
      <c r="U431" s="186">
        <f ca="1">IF(Materiais[[#This Row],[Data Update]] = "",0,IF(_xlfn.DAYS(NOW(),Materiais[[#This Row],[Data Update]])&lt;=0,0,_xlfn.DAYS(NOW(),Materiais[[#This Row],[Data Update]])))</f>
        <v>0</v>
      </c>
    </row>
    <row r="432" spans="1:21" x14ac:dyDescent="0.2">
      <c r="A432" s="46"/>
      <c r="B432" s="46"/>
      <c r="C432" s="46"/>
      <c r="D432" s="46"/>
      <c r="E432" s="46"/>
      <c r="F432" s="138"/>
      <c r="G432" s="129"/>
      <c r="H432" s="180"/>
      <c r="I432" s="5">
        <f>(Materiais[[#This Row],[Qtde.]]*Materiais[[#This Row],[Custo Unitário
Sem Tributos (R$)]])</f>
        <v>0</v>
      </c>
      <c r="J432" s="92">
        <v>0</v>
      </c>
      <c r="K432" s="140">
        <f>Materiais[[#This Row],[Custo Total
Sem Tributos (R$)]]*Materiais[[#This Row],[IPI
(%)]]+Materiais[[#This Row],[Custo Total
Sem Tributos (R$)]]</f>
        <v>0</v>
      </c>
      <c r="L432" s="92">
        <v>0.1</v>
      </c>
      <c r="M432" s="76">
        <f>Materiais[[#This Row],[Custo Total
Com IPI (R$)]]/(1-Materiais[[#This Row],[Margem
(%)]])</f>
        <v>0</v>
      </c>
      <c r="N432" s="16">
        <f>Materiais[[#This Row],[Valor Venda c/ Potencial Desconto  em Material (R$)]]-Materiais[[#This Row],[Custo Total
Com IPI (R$)]]</f>
        <v>0</v>
      </c>
      <c r="O432" s="93">
        <f>Materiais[[#This Row],[Valor Total
Com Margem
Sem Tributos   (R$)]]/(1-('Valores Finais'!$C$10))</f>
        <v>0</v>
      </c>
      <c r="P432" s="93">
        <f>Materiais[[#This Row],[Valor Venda c/ Potencial Desconto  em Material (R$)]]/(1-('Valores Finais'!$B$6))</f>
        <v>0</v>
      </c>
      <c r="Q432" s="84">
        <f>'Valores Finais'!$B$10</f>
        <v>0.12</v>
      </c>
      <c r="R432" s="76">
        <f>Materiais[[#This Row],[Valor Venda c/ Comissões (R$)]]/(1-Materiais[[#This Row],[Tributos
(%)]])-Materiais[[#This Row],[Valor Venda c/ Comissões (R$)]]</f>
        <v>0</v>
      </c>
      <c r="S432" s="76">
        <f>Materiais[[#This Row],[Valor Venda c/ Comissões (R$)]]+Materiais[[#This Row],[Tributos
(R$)]]</f>
        <v>0</v>
      </c>
      <c r="T432" s="185"/>
      <c r="U432" s="186">
        <f ca="1">IF(Materiais[[#This Row],[Data Update]] = "",0,IF(_xlfn.DAYS(NOW(),Materiais[[#This Row],[Data Update]])&lt;=0,0,_xlfn.DAYS(NOW(),Materiais[[#This Row],[Data Update]])))</f>
        <v>0</v>
      </c>
    </row>
    <row r="433" spans="1:21" x14ac:dyDescent="0.2">
      <c r="A433" s="46"/>
      <c r="B433" s="46"/>
      <c r="C433" s="46"/>
      <c r="D433" s="46"/>
      <c r="E433" s="46"/>
      <c r="F433" s="138"/>
      <c r="G433" s="129"/>
      <c r="H433" s="180"/>
      <c r="I433" s="5">
        <f>(Materiais[[#This Row],[Qtde.]]*Materiais[[#This Row],[Custo Unitário
Sem Tributos (R$)]])</f>
        <v>0</v>
      </c>
      <c r="J433" s="92">
        <v>0</v>
      </c>
      <c r="K433" s="140">
        <f>Materiais[[#This Row],[Custo Total
Sem Tributos (R$)]]*Materiais[[#This Row],[IPI
(%)]]+Materiais[[#This Row],[Custo Total
Sem Tributos (R$)]]</f>
        <v>0</v>
      </c>
      <c r="L433" s="92">
        <v>0.1</v>
      </c>
      <c r="M433" s="76">
        <f>Materiais[[#This Row],[Custo Total
Com IPI (R$)]]/(1-Materiais[[#This Row],[Margem
(%)]])</f>
        <v>0</v>
      </c>
      <c r="N433" s="16">
        <f>Materiais[[#This Row],[Valor Venda c/ Potencial Desconto  em Material (R$)]]-Materiais[[#This Row],[Custo Total
Com IPI (R$)]]</f>
        <v>0</v>
      </c>
      <c r="O433" s="93">
        <f>Materiais[[#This Row],[Valor Total
Com Margem
Sem Tributos   (R$)]]/(1-('Valores Finais'!$C$10))</f>
        <v>0</v>
      </c>
      <c r="P433" s="93">
        <f>Materiais[[#This Row],[Valor Venda c/ Potencial Desconto  em Material (R$)]]/(1-('Valores Finais'!$B$6))</f>
        <v>0</v>
      </c>
      <c r="Q433" s="84">
        <f>'Valores Finais'!$B$10</f>
        <v>0.12</v>
      </c>
      <c r="R433" s="76">
        <f>Materiais[[#This Row],[Valor Venda c/ Comissões (R$)]]/(1-Materiais[[#This Row],[Tributos
(%)]])-Materiais[[#This Row],[Valor Venda c/ Comissões (R$)]]</f>
        <v>0</v>
      </c>
      <c r="S433" s="76">
        <f>Materiais[[#This Row],[Valor Venda c/ Comissões (R$)]]+Materiais[[#This Row],[Tributos
(R$)]]</f>
        <v>0</v>
      </c>
      <c r="T433" s="185"/>
      <c r="U433" s="186">
        <f ca="1">IF(Materiais[[#This Row],[Data Update]] = "",0,IF(_xlfn.DAYS(NOW(),Materiais[[#This Row],[Data Update]])&lt;=0,0,_xlfn.DAYS(NOW(),Materiais[[#This Row],[Data Update]])))</f>
        <v>0</v>
      </c>
    </row>
    <row r="434" spans="1:21" x14ac:dyDescent="0.2">
      <c r="A434" s="46"/>
      <c r="B434" s="46"/>
      <c r="C434" s="46"/>
      <c r="D434" s="46"/>
      <c r="E434" s="46"/>
      <c r="F434" s="138"/>
      <c r="G434" s="129"/>
      <c r="H434" s="180"/>
      <c r="I434" s="5">
        <f>(Materiais[[#This Row],[Qtde.]]*Materiais[[#This Row],[Custo Unitário
Sem Tributos (R$)]])</f>
        <v>0</v>
      </c>
      <c r="J434" s="92">
        <v>0</v>
      </c>
      <c r="K434" s="140">
        <f>Materiais[[#This Row],[Custo Total
Sem Tributos (R$)]]*Materiais[[#This Row],[IPI
(%)]]+Materiais[[#This Row],[Custo Total
Sem Tributos (R$)]]</f>
        <v>0</v>
      </c>
      <c r="L434" s="92">
        <v>0.1</v>
      </c>
      <c r="M434" s="76">
        <f>Materiais[[#This Row],[Custo Total
Com IPI (R$)]]/(1-Materiais[[#This Row],[Margem
(%)]])</f>
        <v>0</v>
      </c>
      <c r="N434" s="16">
        <f>Materiais[[#This Row],[Valor Venda c/ Potencial Desconto  em Material (R$)]]-Materiais[[#This Row],[Custo Total
Com IPI (R$)]]</f>
        <v>0</v>
      </c>
      <c r="O434" s="93">
        <f>Materiais[[#This Row],[Valor Total
Com Margem
Sem Tributos   (R$)]]/(1-('Valores Finais'!$C$10))</f>
        <v>0</v>
      </c>
      <c r="P434" s="93">
        <f>Materiais[[#This Row],[Valor Venda c/ Potencial Desconto  em Material (R$)]]/(1-('Valores Finais'!$B$6))</f>
        <v>0</v>
      </c>
      <c r="Q434" s="84">
        <f>'Valores Finais'!$B$10</f>
        <v>0.12</v>
      </c>
      <c r="R434" s="76">
        <f>Materiais[[#This Row],[Valor Venda c/ Comissões (R$)]]/(1-Materiais[[#This Row],[Tributos
(%)]])-Materiais[[#This Row],[Valor Venda c/ Comissões (R$)]]</f>
        <v>0</v>
      </c>
      <c r="S434" s="76">
        <f>Materiais[[#This Row],[Valor Venda c/ Comissões (R$)]]+Materiais[[#This Row],[Tributos
(R$)]]</f>
        <v>0</v>
      </c>
      <c r="T434" s="185"/>
      <c r="U434" s="186">
        <f ca="1">IF(Materiais[[#This Row],[Data Update]] = "",0,IF(_xlfn.DAYS(NOW(),Materiais[[#This Row],[Data Update]])&lt;=0,0,_xlfn.DAYS(NOW(),Materiais[[#This Row],[Data Update]])))</f>
        <v>0</v>
      </c>
    </row>
    <row r="435" spans="1:21" x14ac:dyDescent="0.2">
      <c r="A435" s="46"/>
      <c r="B435" s="46"/>
      <c r="C435" s="46"/>
      <c r="D435" s="46"/>
      <c r="E435" s="46"/>
      <c r="F435" s="138"/>
      <c r="G435" s="129"/>
      <c r="H435" s="180"/>
      <c r="I435" s="5">
        <f>(Materiais[[#This Row],[Qtde.]]*Materiais[[#This Row],[Custo Unitário
Sem Tributos (R$)]])</f>
        <v>0</v>
      </c>
      <c r="J435" s="92">
        <v>0</v>
      </c>
      <c r="K435" s="140">
        <f>Materiais[[#This Row],[Custo Total
Sem Tributos (R$)]]*Materiais[[#This Row],[IPI
(%)]]+Materiais[[#This Row],[Custo Total
Sem Tributos (R$)]]</f>
        <v>0</v>
      </c>
      <c r="L435" s="92">
        <v>0.1</v>
      </c>
      <c r="M435" s="76">
        <f>Materiais[[#This Row],[Custo Total
Com IPI (R$)]]/(1-Materiais[[#This Row],[Margem
(%)]])</f>
        <v>0</v>
      </c>
      <c r="N435" s="16">
        <f>Materiais[[#This Row],[Valor Venda c/ Potencial Desconto  em Material (R$)]]-Materiais[[#This Row],[Custo Total
Com IPI (R$)]]</f>
        <v>0</v>
      </c>
      <c r="O435" s="93">
        <f>Materiais[[#This Row],[Valor Total
Com Margem
Sem Tributos   (R$)]]/(1-('Valores Finais'!$C$10))</f>
        <v>0</v>
      </c>
      <c r="P435" s="93">
        <f>Materiais[[#This Row],[Valor Venda c/ Potencial Desconto  em Material (R$)]]/(1-('Valores Finais'!$B$6))</f>
        <v>0</v>
      </c>
      <c r="Q435" s="84">
        <f>'Valores Finais'!$B$10</f>
        <v>0.12</v>
      </c>
      <c r="R435" s="76">
        <f>Materiais[[#This Row],[Valor Venda c/ Comissões (R$)]]/(1-Materiais[[#This Row],[Tributos
(%)]])-Materiais[[#This Row],[Valor Venda c/ Comissões (R$)]]</f>
        <v>0</v>
      </c>
      <c r="S435" s="76">
        <f>Materiais[[#This Row],[Valor Venda c/ Comissões (R$)]]+Materiais[[#This Row],[Tributos
(R$)]]</f>
        <v>0</v>
      </c>
      <c r="T435" s="185"/>
      <c r="U435" s="186">
        <f ca="1">IF(Materiais[[#This Row],[Data Update]] = "",0,IF(_xlfn.DAYS(NOW(),Materiais[[#This Row],[Data Update]])&lt;=0,0,_xlfn.DAYS(NOW(),Materiais[[#This Row],[Data Update]])))</f>
        <v>0</v>
      </c>
    </row>
    <row r="436" spans="1:21" x14ac:dyDescent="0.2">
      <c r="A436" s="46"/>
      <c r="B436" s="46"/>
      <c r="C436" s="46"/>
      <c r="D436" s="46"/>
      <c r="E436" s="46"/>
      <c r="F436" s="138"/>
      <c r="G436" s="129"/>
      <c r="H436" s="180"/>
      <c r="I436" s="5">
        <f>(Materiais[[#This Row],[Qtde.]]*Materiais[[#This Row],[Custo Unitário
Sem Tributos (R$)]])</f>
        <v>0</v>
      </c>
      <c r="J436" s="92">
        <v>0</v>
      </c>
      <c r="K436" s="140">
        <f>Materiais[[#This Row],[Custo Total
Sem Tributos (R$)]]*Materiais[[#This Row],[IPI
(%)]]+Materiais[[#This Row],[Custo Total
Sem Tributos (R$)]]</f>
        <v>0</v>
      </c>
      <c r="L436" s="92">
        <v>0.1</v>
      </c>
      <c r="M436" s="76">
        <f>Materiais[[#This Row],[Custo Total
Com IPI (R$)]]/(1-Materiais[[#This Row],[Margem
(%)]])</f>
        <v>0</v>
      </c>
      <c r="N436" s="16">
        <f>Materiais[[#This Row],[Valor Venda c/ Potencial Desconto  em Material (R$)]]-Materiais[[#This Row],[Custo Total
Com IPI (R$)]]</f>
        <v>0</v>
      </c>
      <c r="O436" s="93">
        <f>Materiais[[#This Row],[Valor Total
Com Margem
Sem Tributos   (R$)]]/(1-('Valores Finais'!$C$10))</f>
        <v>0</v>
      </c>
      <c r="P436" s="93">
        <f>Materiais[[#This Row],[Valor Venda c/ Potencial Desconto  em Material (R$)]]/(1-('Valores Finais'!$B$6))</f>
        <v>0</v>
      </c>
      <c r="Q436" s="84">
        <f>'Valores Finais'!$B$10</f>
        <v>0.12</v>
      </c>
      <c r="R436" s="76">
        <f>Materiais[[#This Row],[Valor Venda c/ Comissões (R$)]]/(1-Materiais[[#This Row],[Tributos
(%)]])-Materiais[[#This Row],[Valor Venda c/ Comissões (R$)]]</f>
        <v>0</v>
      </c>
      <c r="S436" s="76">
        <f>Materiais[[#This Row],[Valor Venda c/ Comissões (R$)]]+Materiais[[#This Row],[Tributos
(R$)]]</f>
        <v>0</v>
      </c>
      <c r="T436" s="185"/>
      <c r="U436" s="186">
        <f ca="1">IF(Materiais[[#This Row],[Data Update]] = "",0,IF(_xlfn.DAYS(NOW(),Materiais[[#This Row],[Data Update]])&lt;=0,0,_xlfn.DAYS(NOW(),Materiais[[#This Row],[Data Update]])))</f>
        <v>0</v>
      </c>
    </row>
    <row r="437" spans="1:21" x14ac:dyDescent="0.2">
      <c r="A437" s="46"/>
      <c r="B437" s="46"/>
      <c r="C437" s="46"/>
      <c r="D437" s="46"/>
      <c r="E437" s="46"/>
      <c r="F437" s="138"/>
      <c r="G437" s="129"/>
      <c r="H437" s="180"/>
      <c r="I437" s="5">
        <f>(Materiais[[#This Row],[Qtde.]]*Materiais[[#This Row],[Custo Unitário
Sem Tributos (R$)]])</f>
        <v>0</v>
      </c>
      <c r="J437" s="92">
        <v>0</v>
      </c>
      <c r="K437" s="140">
        <f>Materiais[[#This Row],[Custo Total
Sem Tributos (R$)]]*Materiais[[#This Row],[IPI
(%)]]+Materiais[[#This Row],[Custo Total
Sem Tributos (R$)]]</f>
        <v>0</v>
      </c>
      <c r="L437" s="92">
        <v>0.1</v>
      </c>
      <c r="M437" s="76">
        <f>Materiais[[#This Row],[Custo Total
Com IPI (R$)]]/(1-Materiais[[#This Row],[Margem
(%)]])</f>
        <v>0</v>
      </c>
      <c r="N437" s="16">
        <f>Materiais[[#This Row],[Valor Venda c/ Potencial Desconto  em Material (R$)]]-Materiais[[#This Row],[Custo Total
Com IPI (R$)]]</f>
        <v>0</v>
      </c>
      <c r="O437" s="93">
        <f>Materiais[[#This Row],[Valor Total
Com Margem
Sem Tributos   (R$)]]/(1-('Valores Finais'!$C$10))</f>
        <v>0</v>
      </c>
      <c r="P437" s="93">
        <f>Materiais[[#This Row],[Valor Venda c/ Potencial Desconto  em Material (R$)]]/(1-('Valores Finais'!$B$6))</f>
        <v>0</v>
      </c>
      <c r="Q437" s="84">
        <f>'Valores Finais'!$B$10</f>
        <v>0.12</v>
      </c>
      <c r="R437" s="76">
        <f>Materiais[[#This Row],[Valor Venda c/ Comissões (R$)]]/(1-Materiais[[#This Row],[Tributos
(%)]])-Materiais[[#This Row],[Valor Venda c/ Comissões (R$)]]</f>
        <v>0</v>
      </c>
      <c r="S437" s="76">
        <f>Materiais[[#This Row],[Valor Venda c/ Comissões (R$)]]+Materiais[[#This Row],[Tributos
(R$)]]</f>
        <v>0</v>
      </c>
      <c r="T437" s="185"/>
      <c r="U437" s="186">
        <f ca="1">IF(Materiais[[#This Row],[Data Update]] = "",0,IF(_xlfn.DAYS(NOW(),Materiais[[#This Row],[Data Update]])&lt;=0,0,_xlfn.DAYS(NOW(),Materiais[[#This Row],[Data Update]])))</f>
        <v>0</v>
      </c>
    </row>
    <row r="438" spans="1:21" x14ac:dyDescent="0.2">
      <c r="A438" s="46"/>
      <c r="B438" s="46"/>
      <c r="C438" s="46"/>
      <c r="D438" s="46"/>
      <c r="E438" s="46"/>
      <c r="F438" s="138"/>
      <c r="G438" s="129"/>
      <c r="H438" s="180"/>
      <c r="I438" s="5">
        <f>(Materiais[[#This Row],[Qtde.]]*Materiais[[#This Row],[Custo Unitário
Sem Tributos (R$)]])</f>
        <v>0</v>
      </c>
      <c r="J438" s="92">
        <v>0</v>
      </c>
      <c r="K438" s="140">
        <f>Materiais[[#This Row],[Custo Total
Sem Tributos (R$)]]*Materiais[[#This Row],[IPI
(%)]]+Materiais[[#This Row],[Custo Total
Sem Tributos (R$)]]</f>
        <v>0</v>
      </c>
      <c r="L438" s="92">
        <v>0.1</v>
      </c>
      <c r="M438" s="76">
        <f>Materiais[[#This Row],[Custo Total
Com IPI (R$)]]/(1-Materiais[[#This Row],[Margem
(%)]])</f>
        <v>0</v>
      </c>
      <c r="N438" s="16">
        <f>Materiais[[#This Row],[Valor Venda c/ Potencial Desconto  em Material (R$)]]-Materiais[[#This Row],[Custo Total
Com IPI (R$)]]</f>
        <v>0</v>
      </c>
      <c r="O438" s="93">
        <f>Materiais[[#This Row],[Valor Total
Com Margem
Sem Tributos   (R$)]]/(1-('Valores Finais'!$C$10))</f>
        <v>0</v>
      </c>
      <c r="P438" s="93">
        <f>Materiais[[#This Row],[Valor Venda c/ Potencial Desconto  em Material (R$)]]/(1-('Valores Finais'!$B$6))</f>
        <v>0</v>
      </c>
      <c r="Q438" s="84">
        <f>'Valores Finais'!$B$10</f>
        <v>0.12</v>
      </c>
      <c r="R438" s="76">
        <f>Materiais[[#This Row],[Valor Venda c/ Comissões (R$)]]/(1-Materiais[[#This Row],[Tributos
(%)]])-Materiais[[#This Row],[Valor Venda c/ Comissões (R$)]]</f>
        <v>0</v>
      </c>
      <c r="S438" s="76">
        <f>Materiais[[#This Row],[Valor Venda c/ Comissões (R$)]]+Materiais[[#This Row],[Tributos
(R$)]]</f>
        <v>0</v>
      </c>
      <c r="T438" s="185"/>
      <c r="U438" s="186">
        <f ca="1">IF(Materiais[[#This Row],[Data Update]] = "",0,IF(_xlfn.DAYS(NOW(),Materiais[[#This Row],[Data Update]])&lt;=0,0,_xlfn.DAYS(NOW(),Materiais[[#This Row],[Data Update]])))</f>
        <v>0</v>
      </c>
    </row>
    <row r="439" spans="1:21" x14ac:dyDescent="0.2">
      <c r="A439" s="46"/>
      <c r="B439" s="46"/>
      <c r="C439" s="46"/>
      <c r="D439" s="46"/>
      <c r="E439" s="46"/>
      <c r="F439" s="138"/>
      <c r="G439" s="129"/>
      <c r="H439" s="180"/>
      <c r="I439" s="5">
        <f>(Materiais[[#This Row],[Qtde.]]*Materiais[[#This Row],[Custo Unitário
Sem Tributos (R$)]])</f>
        <v>0</v>
      </c>
      <c r="J439" s="92">
        <v>0</v>
      </c>
      <c r="K439" s="140">
        <f>Materiais[[#This Row],[Custo Total
Sem Tributos (R$)]]*Materiais[[#This Row],[IPI
(%)]]+Materiais[[#This Row],[Custo Total
Sem Tributos (R$)]]</f>
        <v>0</v>
      </c>
      <c r="L439" s="92">
        <v>0.1</v>
      </c>
      <c r="M439" s="76">
        <f>Materiais[[#This Row],[Custo Total
Com IPI (R$)]]/(1-Materiais[[#This Row],[Margem
(%)]])</f>
        <v>0</v>
      </c>
      <c r="N439" s="16">
        <f>Materiais[[#This Row],[Valor Venda c/ Potencial Desconto  em Material (R$)]]-Materiais[[#This Row],[Custo Total
Com IPI (R$)]]</f>
        <v>0</v>
      </c>
      <c r="O439" s="93">
        <f>Materiais[[#This Row],[Valor Total
Com Margem
Sem Tributos   (R$)]]/(1-('Valores Finais'!$C$10))</f>
        <v>0</v>
      </c>
      <c r="P439" s="93">
        <f>Materiais[[#This Row],[Valor Venda c/ Potencial Desconto  em Material (R$)]]/(1-('Valores Finais'!$B$6))</f>
        <v>0</v>
      </c>
      <c r="Q439" s="84">
        <f>'Valores Finais'!$B$10</f>
        <v>0.12</v>
      </c>
      <c r="R439" s="76">
        <f>Materiais[[#This Row],[Valor Venda c/ Comissões (R$)]]/(1-Materiais[[#This Row],[Tributos
(%)]])-Materiais[[#This Row],[Valor Venda c/ Comissões (R$)]]</f>
        <v>0</v>
      </c>
      <c r="S439" s="76">
        <f>Materiais[[#This Row],[Valor Venda c/ Comissões (R$)]]+Materiais[[#This Row],[Tributos
(R$)]]</f>
        <v>0</v>
      </c>
      <c r="T439" s="185"/>
      <c r="U439" s="186">
        <f ca="1">IF(Materiais[[#This Row],[Data Update]] = "",0,IF(_xlfn.DAYS(NOW(),Materiais[[#This Row],[Data Update]])&lt;=0,0,_xlfn.DAYS(NOW(),Materiais[[#This Row],[Data Update]])))</f>
        <v>0</v>
      </c>
    </row>
    <row r="440" spans="1:21" x14ac:dyDescent="0.2">
      <c r="A440" s="46"/>
      <c r="B440" s="46"/>
      <c r="C440" s="46"/>
      <c r="D440" s="46"/>
      <c r="E440" s="46"/>
      <c r="F440" s="138"/>
      <c r="G440" s="129"/>
      <c r="H440" s="180"/>
      <c r="I440" s="5">
        <f>(Materiais[[#This Row],[Qtde.]]*Materiais[[#This Row],[Custo Unitário
Sem Tributos (R$)]])</f>
        <v>0</v>
      </c>
      <c r="J440" s="92">
        <v>0</v>
      </c>
      <c r="K440" s="140">
        <f>Materiais[[#This Row],[Custo Total
Sem Tributos (R$)]]*Materiais[[#This Row],[IPI
(%)]]+Materiais[[#This Row],[Custo Total
Sem Tributos (R$)]]</f>
        <v>0</v>
      </c>
      <c r="L440" s="92">
        <v>0.1</v>
      </c>
      <c r="M440" s="76">
        <f>Materiais[[#This Row],[Custo Total
Com IPI (R$)]]/(1-Materiais[[#This Row],[Margem
(%)]])</f>
        <v>0</v>
      </c>
      <c r="N440" s="16">
        <f>Materiais[[#This Row],[Valor Venda c/ Potencial Desconto  em Material (R$)]]-Materiais[[#This Row],[Custo Total
Com IPI (R$)]]</f>
        <v>0</v>
      </c>
      <c r="O440" s="93">
        <f>Materiais[[#This Row],[Valor Total
Com Margem
Sem Tributos   (R$)]]/(1-('Valores Finais'!$C$10))</f>
        <v>0</v>
      </c>
      <c r="P440" s="93">
        <f>Materiais[[#This Row],[Valor Venda c/ Potencial Desconto  em Material (R$)]]/(1-('Valores Finais'!$B$6))</f>
        <v>0</v>
      </c>
      <c r="Q440" s="84">
        <f>'Valores Finais'!$B$10</f>
        <v>0.12</v>
      </c>
      <c r="R440" s="76">
        <f>Materiais[[#This Row],[Valor Venda c/ Comissões (R$)]]/(1-Materiais[[#This Row],[Tributos
(%)]])-Materiais[[#This Row],[Valor Venda c/ Comissões (R$)]]</f>
        <v>0</v>
      </c>
      <c r="S440" s="76">
        <f>Materiais[[#This Row],[Valor Venda c/ Comissões (R$)]]+Materiais[[#This Row],[Tributos
(R$)]]</f>
        <v>0</v>
      </c>
      <c r="T440" s="185"/>
      <c r="U440" s="186">
        <f ca="1">IF(Materiais[[#This Row],[Data Update]] = "",0,IF(_xlfn.DAYS(NOW(),Materiais[[#This Row],[Data Update]])&lt;=0,0,_xlfn.DAYS(NOW(),Materiais[[#This Row],[Data Update]])))</f>
        <v>0</v>
      </c>
    </row>
    <row r="441" spans="1:21" x14ac:dyDescent="0.2">
      <c r="A441" s="46"/>
      <c r="B441" s="46"/>
      <c r="C441" s="46"/>
      <c r="D441" s="46"/>
      <c r="E441" s="46"/>
      <c r="F441" s="138"/>
      <c r="G441" s="129"/>
      <c r="H441" s="180"/>
      <c r="I441" s="5">
        <f>(Materiais[[#This Row],[Qtde.]]*Materiais[[#This Row],[Custo Unitário
Sem Tributos (R$)]])</f>
        <v>0</v>
      </c>
      <c r="J441" s="92">
        <v>0</v>
      </c>
      <c r="K441" s="140">
        <f>Materiais[[#This Row],[Custo Total
Sem Tributos (R$)]]*Materiais[[#This Row],[IPI
(%)]]+Materiais[[#This Row],[Custo Total
Sem Tributos (R$)]]</f>
        <v>0</v>
      </c>
      <c r="L441" s="92">
        <v>0.1</v>
      </c>
      <c r="M441" s="76">
        <f>Materiais[[#This Row],[Custo Total
Com IPI (R$)]]/(1-Materiais[[#This Row],[Margem
(%)]])</f>
        <v>0</v>
      </c>
      <c r="N441" s="16">
        <f>Materiais[[#This Row],[Valor Venda c/ Potencial Desconto  em Material (R$)]]-Materiais[[#This Row],[Custo Total
Com IPI (R$)]]</f>
        <v>0</v>
      </c>
      <c r="O441" s="93">
        <f>Materiais[[#This Row],[Valor Total
Com Margem
Sem Tributos   (R$)]]/(1-('Valores Finais'!$C$10))</f>
        <v>0</v>
      </c>
      <c r="P441" s="93">
        <f>Materiais[[#This Row],[Valor Venda c/ Potencial Desconto  em Material (R$)]]/(1-('Valores Finais'!$B$6))</f>
        <v>0</v>
      </c>
      <c r="Q441" s="84">
        <f>'Valores Finais'!$B$10</f>
        <v>0.12</v>
      </c>
      <c r="R441" s="76">
        <f>Materiais[[#This Row],[Valor Venda c/ Comissões (R$)]]/(1-Materiais[[#This Row],[Tributos
(%)]])-Materiais[[#This Row],[Valor Venda c/ Comissões (R$)]]</f>
        <v>0</v>
      </c>
      <c r="S441" s="76">
        <f>Materiais[[#This Row],[Valor Venda c/ Comissões (R$)]]+Materiais[[#This Row],[Tributos
(R$)]]</f>
        <v>0</v>
      </c>
      <c r="T441" s="185"/>
      <c r="U441" s="186">
        <f ca="1">IF(Materiais[[#This Row],[Data Update]] = "",0,IF(_xlfn.DAYS(NOW(),Materiais[[#This Row],[Data Update]])&lt;=0,0,_xlfn.DAYS(NOW(),Materiais[[#This Row],[Data Update]])))</f>
        <v>0</v>
      </c>
    </row>
    <row r="442" spans="1:21" x14ac:dyDescent="0.2">
      <c r="A442" s="46"/>
      <c r="B442" s="46"/>
      <c r="C442" s="46"/>
      <c r="D442" s="46"/>
      <c r="E442" s="46"/>
      <c r="F442" s="138"/>
      <c r="G442" s="129"/>
      <c r="H442" s="180"/>
      <c r="I442" s="5">
        <f>(Materiais[[#This Row],[Qtde.]]*Materiais[[#This Row],[Custo Unitário
Sem Tributos (R$)]])</f>
        <v>0</v>
      </c>
      <c r="J442" s="92">
        <v>0</v>
      </c>
      <c r="K442" s="140">
        <f>Materiais[[#This Row],[Custo Total
Sem Tributos (R$)]]*Materiais[[#This Row],[IPI
(%)]]+Materiais[[#This Row],[Custo Total
Sem Tributos (R$)]]</f>
        <v>0</v>
      </c>
      <c r="L442" s="92">
        <v>0.1</v>
      </c>
      <c r="M442" s="76">
        <f>Materiais[[#This Row],[Custo Total
Com IPI (R$)]]/(1-Materiais[[#This Row],[Margem
(%)]])</f>
        <v>0</v>
      </c>
      <c r="N442" s="16">
        <f>Materiais[[#This Row],[Valor Venda c/ Potencial Desconto  em Material (R$)]]-Materiais[[#This Row],[Custo Total
Com IPI (R$)]]</f>
        <v>0</v>
      </c>
      <c r="O442" s="93">
        <f>Materiais[[#This Row],[Valor Total
Com Margem
Sem Tributos   (R$)]]/(1-('Valores Finais'!$C$10))</f>
        <v>0</v>
      </c>
      <c r="P442" s="93">
        <f>Materiais[[#This Row],[Valor Venda c/ Potencial Desconto  em Material (R$)]]/(1-('Valores Finais'!$B$6))</f>
        <v>0</v>
      </c>
      <c r="Q442" s="84">
        <f>'Valores Finais'!$B$10</f>
        <v>0.12</v>
      </c>
      <c r="R442" s="76">
        <f>Materiais[[#This Row],[Valor Venda c/ Comissões (R$)]]/(1-Materiais[[#This Row],[Tributos
(%)]])-Materiais[[#This Row],[Valor Venda c/ Comissões (R$)]]</f>
        <v>0</v>
      </c>
      <c r="S442" s="76">
        <f>Materiais[[#This Row],[Valor Venda c/ Comissões (R$)]]+Materiais[[#This Row],[Tributos
(R$)]]</f>
        <v>0</v>
      </c>
      <c r="T442" s="185"/>
      <c r="U442" s="186">
        <f ca="1">IF(Materiais[[#This Row],[Data Update]] = "",0,IF(_xlfn.DAYS(NOW(),Materiais[[#This Row],[Data Update]])&lt;=0,0,_xlfn.DAYS(NOW(),Materiais[[#This Row],[Data Update]])))</f>
        <v>0</v>
      </c>
    </row>
    <row r="443" spans="1:21" x14ac:dyDescent="0.2">
      <c r="A443" s="46"/>
      <c r="B443" s="46"/>
      <c r="C443" s="46"/>
      <c r="D443" s="46"/>
      <c r="E443" s="46"/>
      <c r="F443" s="138"/>
      <c r="G443" s="129"/>
      <c r="H443" s="180"/>
      <c r="I443" s="5">
        <f>(Materiais[[#This Row],[Qtde.]]*Materiais[[#This Row],[Custo Unitário
Sem Tributos (R$)]])</f>
        <v>0</v>
      </c>
      <c r="J443" s="92">
        <v>0</v>
      </c>
      <c r="K443" s="140">
        <f>Materiais[[#This Row],[Custo Total
Sem Tributos (R$)]]*Materiais[[#This Row],[IPI
(%)]]+Materiais[[#This Row],[Custo Total
Sem Tributos (R$)]]</f>
        <v>0</v>
      </c>
      <c r="L443" s="92">
        <v>0.1</v>
      </c>
      <c r="M443" s="76">
        <f>Materiais[[#This Row],[Custo Total
Com IPI (R$)]]/(1-Materiais[[#This Row],[Margem
(%)]])</f>
        <v>0</v>
      </c>
      <c r="N443" s="16">
        <f>Materiais[[#This Row],[Valor Venda c/ Potencial Desconto  em Material (R$)]]-Materiais[[#This Row],[Custo Total
Com IPI (R$)]]</f>
        <v>0</v>
      </c>
      <c r="O443" s="93">
        <f>Materiais[[#This Row],[Valor Total
Com Margem
Sem Tributos   (R$)]]/(1-('Valores Finais'!$C$10))</f>
        <v>0</v>
      </c>
      <c r="P443" s="93">
        <f>Materiais[[#This Row],[Valor Venda c/ Potencial Desconto  em Material (R$)]]/(1-('Valores Finais'!$B$6))</f>
        <v>0</v>
      </c>
      <c r="Q443" s="84">
        <f>'Valores Finais'!$B$10</f>
        <v>0.12</v>
      </c>
      <c r="R443" s="76">
        <f>Materiais[[#This Row],[Valor Venda c/ Comissões (R$)]]/(1-Materiais[[#This Row],[Tributos
(%)]])-Materiais[[#This Row],[Valor Venda c/ Comissões (R$)]]</f>
        <v>0</v>
      </c>
      <c r="S443" s="76">
        <f>Materiais[[#This Row],[Valor Venda c/ Comissões (R$)]]+Materiais[[#This Row],[Tributos
(R$)]]</f>
        <v>0</v>
      </c>
      <c r="T443" s="185"/>
      <c r="U443" s="186">
        <f ca="1">IF(Materiais[[#This Row],[Data Update]] = "",0,IF(_xlfn.DAYS(NOW(),Materiais[[#This Row],[Data Update]])&lt;=0,0,_xlfn.DAYS(NOW(),Materiais[[#This Row],[Data Update]])))</f>
        <v>0</v>
      </c>
    </row>
    <row r="444" spans="1:21" x14ac:dyDescent="0.2">
      <c r="A444" s="46"/>
      <c r="B444" s="46"/>
      <c r="C444" s="46"/>
      <c r="D444" s="46"/>
      <c r="E444" s="46"/>
      <c r="F444" s="138"/>
      <c r="G444" s="129"/>
      <c r="H444" s="180"/>
      <c r="I444" s="5">
        <f>(Materiais[[#This Row],[Qtde.]]*Materiais[[#This Row],[Custo Unitário
Sem Tributos (R$)]])</f>
        <v>0</v>
      </c>
      <c r="J444" s="92">
        <v>0</v>
      </c>
      <c r="K444" s="140">
        <f>Materiais[[#This Row],[Custo Total
Sem Tributos (R$)]]*Materiais[[#This Row],[IPI
(%)]]+Materiais[[#This Row],[Custo Total
Sem Tributos (R$)]]</f>
        <v>0</v>
      </c>
      <c r="L444" s="92">
        <v>0.1</v>
      </c>
      <c r="M444" s="76">
        <f>Materiais[[#This Row],[Custo Total
Com IPI (R$)]]/(1-Materiais[[#This Row],[Margem
(%)]])</f>
        <v>0</v>
      </c>
      <c r="N444" s="16">
        <f>Materiais[[#This Row],[Valor Venda c/ Potencial Desconto  em Material (R$)]]-Materiais[[#This Row],[Custo Total
Com IPI (R$)]]</f>
        <v>0</v>
      </c>
      <c r="O444" s="93">
        <f>Materiais[[#This Row],[Valor Total
Com Margem
Sem Tributos   (R$)]]/(1-('Valores Finais'!$C$10))</f>
        <v>0</v>
      </c>
      <c r="P444" s="93">
        <f>Materiais[[#This Row],[Valor Venda c/ Potencial Desconto  em Material (R$)]]/(1-('Valores Finais'!$B$6))</f>
        <v>0</v>
      </c>
      <c r="Q444" s="84">
        <f>'Valores Finais'!$B$10</f>
        <v>0.12</v>
      </c>
      <c r="R444" s="76">
        <f>Materiais[[#This Row],[Valor Venda c/ Comissões (R$)]]/(1-Materiais[[#This Row],[Tributos
(%)]])-Materiais[[#This Row],[Valor Venda c/ Comissões (R$)]]</f>
        <v>0</v>
      </c>
      <c r="S444" s="76">
        <f>Materiais[[#This Row],[Valor Venda c/ Comissões (R$)]]+Materiais[[#This Row],[Tributos
(R$)]]</f>
        <v>0</v>
      </c>
      <c r="T444" s="185"/>
      <c r="U444" s="186">
        <f ca="1">IF(Materiais[[#This Row],[Data Update]] = "",0,IF(_xlfn.DAYS(NOW(),Materiais[[#This Row],[Data Update]])&lt;=0,0,_xlfn.DAYS(NOW(),Materiais[[#This Row],[Data Update]])))</f>
        <v>0</v>
      </c>
    </row>
    <row r="445" spans="1:21" x14ac:dyDescent="0.2">
      <c r="A445" s="46"/>
      <c r="B445" s="46"/>
      <c r="C445" s="46"/>
      <c r="D445" s="46"/>
      <c r="E445" s="46"/>
      <c r="F445" s="138"/>
      <c r="G445" s="129"/>
      <c r="H445" s="180"/>
      <c r="I445" s="5">
        <f>(Materiais[[#This Row],[Qtde.]]*Materiais[[#This Row],[Custo Unitário
Sem Tributos (R$)]])</f>
        <v>0</v>
      </c>
      <c r="J445" s="92">
        <v>0</v>
      </c>
      <c r="K445" s="140">
        <f>Materiais[[#This Row],[Custo Total
Sem Tributos (R$)]]*Materiais[[#This Row],[IPI
(%)]]+Materiais[[#This Row],[Custo Total
Sem Tributos (R$)]]</f>
        <v>0</v>
      </c>
      <c r="L445" s="92">
        <v>0.1</v>
      </c>
      <c r="M445" s="76">
        <f>Materiais[[#This Row],[Custo Total
Com IPI (R$)]]/(1-Materiais[[#This Row],[Margem
(%)]])</f>
        <v>0</v>
      </c>
      <c r="N445" s="16">
        <f>Materiais[[#This Row],[Valor Venda c/ Potencial Desconto  em Material (R$)]]-Materiais[[#This Row],[Custo Total
Com IPI (R$)]]</f>
        <v>0</v>
      </c>
      <c r="O445" s="93">
        <f>Materiais[[#This Row],[Valor Total
Com Margem
Sem Tributos   (R$)]]/(1-('Valores Finais'!$C$10))</f>
        <v>0</v>
      </c>
      <c r="P445" s="93">
        <f>Materiais[[#This Row],[Valor Venda c/ Potencial Desconto  em Material (R$)]]/(1-('Valores Finais'!$B$6))</f>
        <v>0</v>
      </c>
      <c r="Q445" s="84">
        <f>'Valores Finais'!$B$10</f>
        <v>0.12</v>
      </c>
      <c r="R445" s="76">
        <f>Materiais[[#This Row],[Valor Venda c/ Comissões (R$)]]/(1-Materiais[[#This Row],[Tributos
(%)]])-Materiais[[#This Row],[Valor Venda c/ Comissões (R$)]]</f>
        <v>0</v>
      </c>
      <c r="S445" s="76">
        <f>Materiais[[#This Row],[Valor Venda c/ Comissões (R$)]]+Materiais[[#This Row],[Tributos
(R$)]]</f>
        <v>0</v>
      </c>
      <c r="T445" s="185"/>
      <c r="U445" s="186">
        <f ca="1">IF(Materiais[[#This Row],[Data Update]] = "",0,IF(_xlfn.DAYS(NOW(),Materiais[[#This Row],[Data Update]])&lt;=0,0,_xlfn.DAYS(NOW(),Materiais[[#This Row],[Data Update]])))</f>
        <v>0</v>
      </c>
    </row>
    <row r="446" spans="1:21" x14ac:dyDescent="0.2">
      <c r="A446" s="46"/>
      <c r="B446" s="46"/>
      <c r="C446" s="46"/>
      <c r="D446" s="46"/>
      <c r="E446" s="46"/>
      <c r="F446" s="138"/>
      <c r="G446" s="129"/>
      <c r="H446" s="180"/>
      <c r="I446" s="5">
        <f>(Materiais[[#This Row],[Qtde.]]*Materiais[[#This Row],[Custo Unitário
Sem Tributos (R$)]])</f>
        <v>0</v>
      </c>
      <c r="J446" s="92">
        <v>0</v>
      </c>
      <c r="K446" s="140">
        <f>Materiais[[#This Row],[Custo Total
Sem Tributos (R$)]]*Materiais[[#This Row],[IPI
(%)]]+Materiais[[#This Row],[Custo Total
Sem Tributos (R$)]]</f>
        <v>0</v>
      </c>
      <c r="L446" s="92">
        <v>0.1</v>
      </c>
      <c r="M446" s="76">
        <f>Materiais[[#This Row],[Custo Total
Com IPI (R$)]]/(1-Materiais[[#This Row],[Margem
(%)]])</f>
        <v>0</v>
      </c>
      <c r="N446" s="16">
        <f>Materiais[[#This Row],[Valor Venda c/ Potencial Desconto  em Material (R$)]]-Materiais[[#This Row],[Custo Total
Com IPI (R$)]]</f>
        <v>0</v>
      </c>
      <c r="O446" s="93">
        <f>Materiais[[#This Row],[Valor Total
Com Margem
Sem Tributos   (R$)]]/(1-('Valores Finais'!$C$10))</f>
        <v>0</v>
      </c>
      <c r="P446" s="93">
        <f>Materiais[[#This Row],[Valor Venda c/ Potencial Desconto  em Material (R$)]]/(1-('Valores Finais'!$B$6))</f>
        <v>0</v>
      </c>
      <c r="Q446" s="84">
        <f>'Valores Finais'!$B$10</f>
        <v>0.12</v>
      </c>
      <c r="R446" s="76">
        <f>Materiais[[#This Row],[Valor Venda c/ Comissões (R$)]]/(1-Materiais[[#This Row],[Tributos
(%)]])-Materiais[[#This Row],[Valor Venda c/ Comissões (R$)]]</f>
        <v>0</v>
      </c>
      <c r="S446" s="76">
        <f>Materiais[[#This Row],[Valor Venda c/ Comissões (R$)]]+Materiais[[#This Row],[Tributos
(R$)]]</f>
        <v>0</v>
      </c>
      <c r="T446" s="185"/>
      <c r="U446" s="186">
        <f ca="1">IF(Materiais[[#This Row],[Data Update]] = "",0,IF(_xlfn.DAYS(NOW(),Materiais[[#This Row],[Data Update]])&lt;=0,0,_xlfn.DAYS(NOW(),Materiais[[#This Row],[Data Update]])))</f>
        <v>0</v>
      </c>
    </row>
    <row r="447" spans="1:21" x14ac:dyDescent="0.2">
      <c r="A447" s="46"/>
      <c r="B447" s="46"/>
      <c r="C447" s="46"/>
      <c r="D447" s="46"/>
      <c r="E447" s="46"/>
      <c r="F447" s="138"/>
      <c r="G447" s="129"/>
      <c r="H447" s="180"/>
      <c r="I447" s="5">
        <f>(Materiais[[#This Row],[Qtde.]]*Materiais[[#This Row],[Custo Unitário
Sem Tributos (R$)]])</f>
        <v>0</v>
      </c>
      <c r="J447" s="92">
        <v>0</v>
      </c>
      <c r="K447" s="140">
        <f>Materiais[[#This Row],[Custo Total
Sem Tributos (R$)]]*Materiais[[#This Row],[IPI
(%)]]+Materiais[[#This Row],[Custo Total
Sem Tributos (R$)]]</f>
        <v>0</v>
      </c>
      <c r="L447" s="92">
        <v>0.1</v>
      </c>
      <c r="M447" s="76">
        <f>Materiais[[#This Row],[Custo Total
Com IPI (R$)]]/(1-Materiais[[#This Row],[Margem
(%)]])</f>
        <v>0</v>
      </c>
      <c r="N447" s="16">
        <f>Materiais[[#This Row],[Valor Venda c/ Potencial Desconto  em Material (R$)]]-Materiais[[#This Row],[Custo Total
Com IPI (R$)]]</f>
        <v>0</v>
      </c>
      <c r="O447" s="93">
        <f>Materiais[[#This Row],[Valor Total
Com Margem
Sem Tributos   (R$)]]/(1-('Valores Finais'!$C$10))</f>
        <v>0</v>
      </c>
      <c r="P447" s="93">
        <f>Materiais[[#This Row],[Valor Venda c/ Potencial Desconto  em Material (R$)]]/(1-('Valores Finais'!$B$6))</f>
        <v>0</v>
      </c>
      <c r="Q447" s="84">
        <f>'Valores Finais'!$B$10</f>
        <v>0.12</v>
      </c>
      <c r="R447" s="76">
        <f>Materiais[[#This Row],[Valor Venda c/ Comissões (R$)]]/(1-Materiais[[#This Row],[Tributos
(%)]])-Materiais[[#This Row],[Valor Venda c/ Comissões (R$)]]</f>
        <v>0</v>
      </c>
      <c r="S447" s="76">
        <f>Materiais[[#This Row],[Valor Venda c/ Comissões (R$)]]+Materiais[[#This Row],[Tributos
(R$)]]</f>
        <v>0</v>
      </c>
      <c r="T447" s="185"/>
      <c r="U447" s="186">
        <f ca="1">IF(Materiais[[#This Row],[Data Update]] = "",0,IF(_xlfn.DAYS(NOW(),Materiais[[#This Row],[Data Update]])&lt;=0,0,_xlfn.DAYS(NOW(),Materiais[[#This Row],[Data Update]])))</f>
        <v>0</v>
      </c>
    </row>
    <row r="448" spans="1:21" x14ac:dyDescent="0.2">
      <c r="A448" s="46"/>
      <c r="B448" s="46"/>
      <c r="C448" s="46"/>
      <c r="D448" s="46"/>
      <c r="E448" s="46"/>
      <c r="F448" s="138"/>
      <c r="G448" s="129"/>
      <c r="H448" s="180"/>
      <c r="I448" s="5">
        <f>(Materiais[[#This Row],[Qtde.]]*Materiais[[#This Row],[Custo Unitário
Sem Tributos (R$)]])</f>
        <v>0</v>
      </c>
      <c r="J448" s="92">
        <v>0</v>
      </c>
      <c r="K448" s="140">
        <f>Materiais[[#This Row],[Custo Total
Sem Tributos (R$)]]*Materiais[[#This Row],[IPI
(%)]]+Materiais[[#This Row],[Custo Total
Sem Tributos (R$)]]</f>
        <v>0</v>
      </c>
      <c r="L448" s="92">
        <v>0.1</v>
      </c>
      <c r="M448" s="76">
        <f>Materiais[[#This Row],[Custo Total
Com IPI (R$)]]/(1-Materiais[[#This Row],[Margem
(%)]])</f>
        <v>0</v>
      </c>
      <c r="N448" s="16">
        <f>Materiais[[#This Row],[Valor Venda c/ Potencial Desconto  em Material (R$)]]-Materiais[[#This Row],[Custo Total
Com IPI (R$)]]</f>
        <v>0</v>
      </c>
      <c r="O448" s="93">
        <f>Materiais[[#This Row],[Valor Total
Com Margem
Sem Tributos   (R$)]]/(1-('Valores Finais'!$C$10))</f>
        <v>0</v>
      </c>
      <c r="P448" s="93">
        <f>Materiais[[#This Row],[Valor Venda c/ Potencial Desconto  em Material (R$)]]/(1-('Valores Finais'!$B$6))</f>
        <v>0</v>
      </c>
      <c r="Q448" s="84">
        <f>'Valores Finais'!$B$10</f>
        <v>0.12</v>
      </c>
      <c r="R448" s="76">
        <f>Materiais[[#This Row],[Valor Venda c/ Comissões (R$)]]/(1-Materiais[[#This Row],[Tributos
(%)]])-Materiais[[#This Row],[Valor Venda c/ Comissões (R$)]]</f>
        <v>0</v>
      </c>
      <c r="S448" s="76">
        <f>Materiais[[#This Row],[Valor Venda c/ Comissões (R$)]]+Materiais[[#This Row],[Tributos
(R$)]]</f>
        <v>0</v>
      </c>
      <c r="T448" s="185"/>
      <c r="U448" s="186">
        <f ca="1">IF(Materiais[[#This Row],[Data Update]] = "",0,IF(_xlfn.DAYS(NOW(),Materiais[[#This Row],[Data Update]])&lt;=0,0,_xlfn.DAYS(NOW(),Materiais[[#This Row],[Data Update]])))</f>
        <v>0</v>
      </c>
    </row>
    <row r="449" spans="1:21" x14ac:dyDescent="0.2">
      <c r="A449" s="46"/>
      <c r="B449" s="46"/>
      <c r="C449" s="46"/>
      <c r="D449" s="46"/>
      <c r="E449" s="46"/>
      <c r="F449" s="138"/>
      <c r="G449" s="129"/>
      <c r="H449" s="180"/>
      <c r="I449" s="5">
        <f>(Materiais[[#This Row],[Qtde.]]*Materiais[[#This Row],[Custo Unitário
Sem Tributos (R$)]])</f>
        <v>0</v>
      </c>
      <c r="J449" s="92">
        <v>0</v>
      </c>
      <c r="K449" s="140">
        <f>Materiais[[#This Row],[Custo Total
Sem Tributos (R$)]]*Materiais[[#This Row],[IPI
(%)]]+Materiais[[#This Row],[Custo Total
Sem Tributos (R$)]]</f>
        <v>0</v>
      </c>
      <c r="L449" s="92">
        <v>0.1</v>
      </c>
      <c r="M449" s="76">
        <f>Materiais[[#This Row],[Custo Total
Com IPI (R$)]]/(1-Materiais[[#This Row],[Margem
(%)]])</f>
        <v>0</v>
      </c>
      <c r="N449" s="16">
        <f>Materiais[[#This Row],[Valor Venda c/ Potencial Desconto  em Material (R$)]]-Materiais[[#This Row],[Custo Total
Com IPI (R$)]]</f>
        <v>0</v>
      </c>
      <c r="O449" s="93">
        <f>Materiais[[#This Row],[Valor Total
Com Margem
Sem Tributos   (R$)]]/(1-('Valores Finais'!$C$10))</f>
        <v>0</v>
      </c>
      <c r="P449" s="93">
        <f>Materiais[[#This Row],[Valor Venda c/ Potencial Desconto  em Material (R$)]]/(1-('Valores Finais'!$B$6))</f>
        <v>0</v>
      </c>
      <c r="Q449" s="84">
        <f>'Valores Finais'!$B$10</f>
        <v>0.12</v>
      </c>
      <c r="R449" s="76">
        <f>Materiais[[#This Row],[Valor Venda c/ Comissões (R$)]]/(1-Materiais[[#This Row],[Tributos
(%)]])-Materiais[[#This Row],[Valor Venda c/ Comissões (R$)]]</f>
        <v>0</v>
      </c>
      <c r="S449" s="76">
        <f>Materiais[[#This Row],[Valor Venda c/ Comissões (R$)]]+Materiais[[#This Row],[Tributos
(R$)]]</f>
        <v>0</v>
      </c>
      <c r="T449" s="185"/>
      <c r="U449" s="186">
        <f ca="1">IF(Materiais[[#This Row],[Data Update]] = "",0,IF(_xlfn.DAYS(NOW(),Materiais[[#This Row],[Data Update]])&lt;=0,0,_xlfn.DAYS(NOW(),Materiais[[#This Row],[Data Update]])))</f>
        <v>0</v>
      </c>
    </row>
    <row r="450" spans="1:21" x14ac:dyDescent="0.2">
      <c r="A450" s="46"/>
      <c r="B450" s="46"/>
      <c r="C450" s="46"/>
      <c r="D450" s="46"/>
      <c r="E450" s="46"/>
      <c r="F450" s="138"/>
      <c r="G450" s="129"/>
      <c r="H450" s="180"/>
      <c r="I450" s="5">
        <f>(Materiais[[#This Row],[Qtde.]]*Materiais[[#This Row],[Custo Unitário
Sem Tributos (R$)]])</f>
        <v>0</v>
      </c>
      <c r="J450" s="92">
        <v>0</v>
      </c>
      <c r="K450" s="140">
        <f>Materiais[[#This Row],[Custo Total
Sem Tributos (R$)]]*Materiais[[#This Row],[IPI
(%)]]+Materiais[[#This Row],[Custo Total
Sem Tributos (R$)]]</f>
        <v>0</v>
      </c>
      <c r="L450" s="92">
        <v>0.1</v>
      </c>
      <c r="M450" s="76">
        <f>Materiais[[#This Row],[Custo Total
Com IPI (R$)]]/(1-Materiais[[#This Row],[Margem
(%)]])</f>
        <v>0</v>
      </c>
      <c r="N450" s="16">
        <f>Materiais[[#This Row],[Valor Venda c/ Potencial Desconto  em Material (R$)]]-Materiais[[#This Row],[Custo Total
Com IPI (R$)]]</f>
        <v>0</v>
      </c>
      <c r="O450" s="93">
        <f>Materiais[[#This Row],[Valor Total
Com Margem
Sem Tributos   (R$)]]/(1-('Valores Finais'!$C$10))</f>
        <v>0</v>
      </c>
      <c r="P450" s="93">
        <f>Materiais[[#This Row],[Valor Venda c/ Potencial Desconto  em Material (R$)]]/(1-('Valores Finais'!$B$6))</f>
        <v>0</v>
      </c>
      <c r="Q450" s="84">
        <f>'Valores Finais'!$B$10</f>
        <v>0.12</v>
      </c>
      <c r="R450" s="76">
        <f>Materiais[[#This Row],[Valor Venda c/ Comissões (R$)]]/(1-Materiais[[#This Row],[Tributos
(%)]])-Materiais[[#This Row],[Valor Venda c/ Comissões (R$)]]</f>
        <v>0</v>
      </c>
      <c r="S450" s="76">
        <f>Materiais[[#This Row],[Valor Venda c/ Comissões (R$)]]+Materiais[[#This Row],[Tributos
(R$)]]</f>
        <v>0</v>
      </c>
      <c r="T450" s="185"/>
      <c r="U450" s="186">
        <f ca="1">IF(Materiais[[#This Row],[Data Update]] = "",0,IF(_xlfn.DAYS(NOW(),Materiais[[#This Row],[Data Update]])&lt;=0,0,_xlfn.DAYS(NOW(),Materiais[[#This Row],[Data Update]])))</f>
        <v>0</v>
      </c>
    </row>
    <row r="451" spans="1:21" x14ac:dyDescent="0.2">
      <c r="A451" s="46"/>
      <c r="B451" s="46"/>
      <c r="C451" s="46"/>
      <c r="D451" s="46"/>
      <c r="E451" s="46"/>
      <c r="F451" s="138"/>
      <c r="G451" s="129"/>
      <c r="H451" s="180"/>
      <c r="I451" s="5">
        <f>(Materiais[[#This Row],[Qtde.]]*Materiais[[#This Row],[Custo Unitário
Sem Tributos (R$)]])</f>
        <v>0</v>
      </c>
      <c r="J451" s="92">
        <v>0</v>
      </c>
      <c r="K451" s="140">
        <f>Materiais[[#This Row],[Custo Total
Sem Tributos (R$)]]*Materiais[[#This Row],[IPI
(%)]]+Materiais[[#This Row],[Custo Total
Sem Tributos (R$)]]</f>
        <v>0</v>
      </c>
      <c r="L451" s="92">
        <v>0.1</v>
      </c>
      <c r="M451" s="76">
        <f>Materiais[[#This Row],[Custo Total
Com IPI (R$)]]/(1-Materiais[[#This Row],[Margem
(%)]])</f>
        <v>0</v>
      </c>
      <c r="N451" s="16">
        <f>Materiais[[#This Row],[Valor Venda c/ Potencial Desconto  em Material (R$)]]-Materiais[[#This Row],[Custo Total
Com IPI (R$)]]</f>
        <v>0</v>
      </c>
      <c r="O451" s="93">
        <f>Materiais[[#This Row],[Valor Total
Com Margem
Sem Tributos   (R$)]]/(1-('Valores Finais'!$C$10))</f>
        <v>0</v>
      </c>
      <c r="P451" s="93">
        <f>Materiais[[#This Row],[Valor Venda c/ Potencial Desconto  em Material (R$)]]/(1-('Valores Finais'!$B$6))</f>
        <v>0</v>
      </c>
      <c r="Q451" s="84">
        <f>'Valores Finais'!$B$10</f>
        <v>0.12</v>
      </c>
      <c r="R451" s="76">
        <f>Materiais[[#This Row],[Valor Venda c/ Comissões (R$)]]/(1-Materiais[[#This Row],[Tributos
(%)]])-Materiais[[#This Row],[Valor Venda c/ Comissões (R$)]]</f>
        <v>0</v>
      </c>
      <c r="S451" s="76">
        <f>Materiais[[#This Row],[Valor Venda c/ Comissões (R$)]]+Materiais[[#This Row],[Tributos
(R$)]]</f>
        <v>0</v>
      </c>
      <c r="T451" s="185"/>
      <c r="U451" s="186">
        <f ca="1">IF(Materiais[[#This Row],[Data Update]] = "",0,IF(_xlfn.DAYS(NOW(),Materiais[[#This Row],[Data Update]])&lt;=0,0,_xlfn.DAYS(NOW(),Materiais[[#This Row],[Data Update]])))</f>
        <v>0</v>
      </c>
    </row>
    <row r="452" spans="1:21" s="149" customFormat="1" x14ac:dyDescent="0.2">
      <c r="A452" s="139"/>
      <c r="B452" s="46"/>
      <c r="C452" s="139"/>
      <c r="D452" s="139"/>
      <c r="E452" s="139"/>
      <c r="F452" s="141"/>
      <c r="G452" s="142"/>
      <c r="H452" s="143"/>
      <c r="I452" s="144">
        <f>(Materiais[[#This Row],[Qtde.]]*Materiais[[#This Row],[Custo Unitário
Sem Tributos (R$)]])</f>
        <v>0</v>
      </c>
      <c r="J452" s="145">
        <v>0</v>
      </c>
      <c r="K452" s="146">
        <f>Materiais[[#This Row],[Custo Total
Sem Tributos (R$)]]*Materiais[[#This Row],[IPI
(%)]]+Materiais[[#This Row],[Custo Total
Sem Tributos (R$)]]</f>
        <v>0</v>
      </c>
      <c r="L452" s="145">
        <v>0.1</v>
      </c>
      <c r="M452" s="146">
        <f>Materiais[[#This Row],[Custo Total
Com IPI (R$)]]/(1-Materiais[[#This Row],[Margem
(%)]])</f>
        <v>0</v>
      </c>
      <c r="N452" s="146">
        <f>Materiais[[#This Row],[Valor Venda c/ Potencial Desconto  em Material (R$)]]-Materiais[[#This Row],[Custo Total
Com IPI (R$)]]</f>
        <v>0</v>
      </c>
      <c r="O452" s="147">
        <f>Materiais[[#This Row],[Valor Total
Com Margem
Sem Tributos   (R$)]]/(1-('Valores Finais'!$C$10))</f>
        <v>0</v>
      </c>
      <c r="P452" s="147">
        <f>Materiais[[#This Row],[Valor Venda c/ Potencial Desconto  em Material (R$)]]/(1-('Valores Finais'!$B$6))</f>
        <v>0</v>
      </c>
      <c r="Q452" s="148">
        <f>'Valores Finais'!$B$10</f>
        <v>0.12</v>
      </c>
      <c r="R452" s="146">
        <f>Materiais[[#This Row],[Valor Venda c/ Comissões (R$)]]/(1-Materiais[[#This Row],[Tributos
(%)]])-Materiais[[#This Row],[Valor Venda c/ Comissões (R$)]]</f>
        <v>0</v>
      </c>
      <c r="S452" s="146">
        <f>Materiais[[#This Row],[Valor Venda c/ Comissões (R$)]]+Materiais[[#This Row],[Tributos
(R$)]]</f>
        <v>0</v>
      </c>
      <c r="T452" s="185"/>
      <c r="U452" s="186">
        <f ca="1">IF(Materiais[[#This Row],[Data Update]] = "",0,IF(_xlfn.DAYS(NOW(),Materiais[[#This Row],[Data Update]])&lt;=0,0,_xlfn.DAYS(NOW(),Materiais[[#This Row],[Data Update]])))</f>
        <v>0</v>
      </c>
    </row>
    <row r="453" spans="1:21" s="149" customFormat="1" x14ac:dyDescent="0.2">
      <c r="A453" s="139"/>
      <c r="B453" s="46"/>
      <c r="C453" s="139"/>
      <c r="D453" s="139"/>
      <c r="E453" s="139"/>
      <c r="F453" s="141"/>
      <c r="G453" s="142"/>
      <c r="H453" s="143"/>
      <c r="I453" s="144">
        <f>(Materiais[[#This Row],[Qtde.]]*Materiais[[#This Row],[Custo Unitário
Sem Tributos (R$)]])</f>
        <v>0</v>
      </c>
      <c r="J453" s="145">
        <v>0</v>
      </c>
      <c r="K453" s="146">
        <f>Materiais[[#This Row],[Custo Total
Sem Tributos (R$)]]*Materiais[[#This Row],[IPI
(%)]]+Materiais[[#This Row],[Custo Total
Sem Tributos (R$)]]</f>
        <v>0</v>
      </c>
      <c r="L453" s="145">
        <v>0.1</v>
      </c>
      <c r="M453" s="146">
        <f>Materiais[[#This Row],[Custo Total
Com IPI (R$)]]/(1-Materiais[[#This Row],[Margem
(%)]])</f>
        <v>0</v>
      </c>
      <c r="N453" s="146">
        <f>Materiais[[#This Row],[Valor Venda c/ Potencial Desconto  em Material (R$)]]-Materiais[[#This Row],[Custo Total
Com IPI (R$)]]</f>
        <v>0</v>
      </c>
      <c r="O453" s="147">
        <f>Materiais[[#This Row],[Valor Total
Com Margem
Sem Tributos   (R$)]]/(1-('Valores Finais'!$C$10))</f>
        <v>0</v>
      </c>
      <c r="P453" s="147">
        <f>Materiais[[#This Row],[Valor Venda c/ Potencial Desconto  em Material (R$)]]/(1-('Valores Finais'!$B$6))</f>
        <v>0</v>
      </c>
      <c r="Q453" s="148">
        <f>'Valores Finais'!$B$10</f>
        <v>0.12</v>
      </c>
      <c r="R453" s="146">
        <f>Materiais[[#This Row],[Valor Venda c/ Comissões (R$)]]/(1-Materiais[[#This Row],[Tributos
(%)]])-Materiais[[#This Row],[Valor Venda c/ Comissões (R$)]]</f>
        <v>0</v>
      </c>
      <c r="S453" s="146">
        <f>Materiais[[#This Row],[Valor Venda c/ Comissões (R$)]]+Materiais[[#This Row],[Tributos
(R$)]]</f>
        <v>0</v>
      </c>
      <c r="T453" s="185"/>
      <c r="U453" s="186">
        <f ca="1">IF(Materiais[[#This Row],[Data Update]] = "",0,IF(_xlfn.DAYS(NOW(),Materiais[[#This Row],[Data Update]])&lt;=0,0,_xlfn.DAYS(NOW(),Materiais[[#This Row],[Data Update]])))</f>
        <v>0</v>
      </c>
    </row>
    <row r="454" spans="1:21" x14ac:dyDescent="0.2">
      <c r="A454" s="46"/>
      <c r="B454" s="46"/>
      <c r="C454" s="46"/>
      <c r="D454" s="46"/>
      <c r="E454" s="46"/>
      <c r="F454" s="137"/>
      <c r="G454" s="128"/>
      <c r="H454" s="54"/>
      <c r="I454" s="9">
        <f>SUBTOTAL(109,Materiais[Custo Total
Sem Tributos (R$)])</f>
        <v>0</v>
      </c>
      <c r="J454" s="55"/>
      <c r="K454" s="170">
        <f>SUBTOTAL(109,Materiais[Custo Total
Com IPI (R$)])</f>
        <v>0</v>
      </c>
      <c r="L454" s="56"/>
      <c r="M454" s="77">
        <f>SUBTOTAL(109,Materiais[Valor Total
Com Margem
Sem Tributos   (R$)])</f>
        <v>0</v>
      </c>
      <c r="N454" s="171">
        <f>SUBTOTAL(109,Materiais[Lucratividade
(R$)])</f>
        <v>0</v>
      </c>
      <c r="O454" s="172">
        <f>SUBTOTAL(109,Materiais[Valor Venda c/ Potencial Desconto  em Material (R$)])</f>
        <v>0</v>
      </c>
      <c r="P454" s="172">
        <f>SUBTOTAL(109,Materiais[Valor Venda c/ Comissões (R$)])</f>
        <v>0</v>
      </c>
      <c r="Q454" s="35"/>
      <c r="R454" s="170">
        <f>SUBTOTAL(109,Materiais[Tributos
(R$)])</f>
        <v>0</v>
      </c>
      <c r="S454" s="173">
        <f>SUBTOTAL(109,Materiais[Valor Venda
Com Tributos (R$)])</f>
        <v>0</v>
      </c>
      <c r="T454" s="179"/>
      <c r="U454" s="54"/>
    </row>
    <row r="455" spans="1:21" s="88" customFormat="1" ht="15.75" x14ac:dyDescent="0.2">
      <c r="A455" s="46"/>
      <c r="B455" s="46"/>
      <c r="C455" s="46"/>
      <c r="D455" s="46"/>
      <c r="E455" s="46"/>
      <c r="F455" s="137"/>
      <c r="G455" s="128"/>
      <c r="H455" s="54"/>
      <c r="I455" s="9"/>
      <c r="J455" s="55"/>
      <c r="K455" s="153" t="s">
        <v>91</v>
      </c>
      <c r="L455" s="56"/>
      <c r="M455" s="77"/>
      <c r="N455" s="95" t="s">
        <v>92</v>
      </c>
      <c r="Q455" s="96"/>
      <c r="R455" s="94" t="s">
        <v>42</v>
      </c>
      <c r="S455" s="97" t="s">
        <v>99</v>
      </c>
    </row>
    <row r="456" spans="1:21" x14ac:dyDescent="0.2">
      <c r="A456" s="46"/>
      <c r="B456" s="46"/>
      <c r="C456" s="46"/>
      <c r="D456" s="46"/>
      <c r="E456" s="46"/>
      <c r="F456" s="137"/>
      <c r="G456" s="128"/>
      <c r="H456" s="54"/>
      <c r="I456" s="9"/>
      <c r="J456" s="55"/>
      <c r="K456" s="77">
        <f>Materiais[[#Totals],[Valor Venda
Com Tributos (R$)]]-Materiais[[#Totals],[Custo Total
Com IPI (R$)]]</f>
        <v>0</v>
      </c>
      <c r="L456" s="56"/>
      <c r="M456" s="77"/>
      <c r="N456" s="77"/>
      <c r="Q456" s="35"/>
      <c r="R456" s="77"/>
      <c r="S456" s="77"/>
    </row>
    <row r="457" spans="1:21" x14ac:dyDescent="0.2">
      <c r="A457" s="46"/>
      <c r="B457" s="46"/>
      <c r="C457" s="46"/>
      <c r="D457" s="46"/>
      <c r="E457" s="46"/>
      <c r="F457" s="137"/>
      <c r="G457" s="128"/>
      <c r="H457" s="54"/>
      <c r="I457" s="9"/>
      <c r="J457" s="55"/>
      <c r="K457" s="77"/>
      <c r="L457" s="56"/>
      <c r="M457" s="77"/>
      <c r="N457" s="77"/>
      <c r="Q457" s="35"/>
      <c r="R457" s="77"/>
      <c r="S457" s="77"/>
    </row>
    <row r="458" spans="1:21" x14ac:dyDescent="0.2">
      <c r="A458" s="46"/>
      <c r="B458" s="46"/>
      <c r="C458" s="46"/>
      <c r="D458" s="46"/>
      <c r="E458" s="46"/>
      <c r="F458" s="137"/>
      <c r="G458" s="128"/>
      <c r="H458" s="54"/>
      <c r="I458" s="9"/>
      <c r="J458" s="55"/>
      <c r="K458" s="77"/>
      <c r="L458" s="56"/>
      <c r="M458" s="77"/>
      <c r="N458" s="77"/>
      <c r="Q458" s="35"/>
      <c r="R458" s="77"/>
      <c r="S458" s="77">
        <f>Materiais[[#Totals],[Valor Venda
Com Tributos (R$)]]</f>
        <v>0</v>
      </c>
    </row>
    <row r="459" spans="1:21" x14ac:dyDescent="0.2">
      <c r="S459" s="11">
        <v>3318</v>
      </c>
    </row>
    <row r="460" spans="1:21" x14ac:dyDescent="0.2">
      <c r="A460" s="57" t="s">
        <v>2</v>
      </c>
      <c r="B460" s="58" t="s">
        <v>22</v>
      </c>
      <c r="S460" s="38">
        <f>S458-S459</f>
        <v>-3318</v>
      </c>
    </row>
    <row r="461" spans="1:21" x14ac:dyDescent="0.2">
      <c r="A461" s="57"/>
      <c r="B461" s="64"/>
    </row>
    <row r="462" spans="1:21" x14ac:dyDescent="0.2">
      <c r="A462" s="65" t="s">
        <v>5</v>
      </c>
      <c r="B462" s="58" t="s">
        <v>23</v>
      </c>
    </row>
    <row r="463" spans="1:21" x14ac:dyDescent="0.2">
      <c r="A463" s="65" t="s">
        <v>18</v>
      </c>
      <c r="B463" s="58" t="s">
        <v>41</v>
      </c>
    </row>
    <row r="464" spans="1:21" x14ac:dyDescent="0.2">
      <c r="A464" s="65" t="s">
        <v>21</v>
      </c>
      <c r="B464" s="46"/>
    </row>
    <row r="465" spans="1:2" x14ac:dyDescent="0.2">
      <c r="A465" s="65" t="s">
        <v>184</v>
      </c>
      <c r="B465" s="46"/>
    </row>
    <row r="466" spans="1:2" x14ac:dyDescent="0.2">
      <c r="A466" s="57" t="s">
        <v>4</v>
      </c>
      <c r="B466" s="46"/>
    </row>
    <row r="467" spans="1:2" x14ac:dyDescent="0.2">
      <c r="A467" s="57" t="s">
        <v>196</v>
      </c>
      <c r="B467" s="46"/>
    </row>
    <row r="468" spans="1:2" x14ac:dyDescent="0.2">
      <c r="A468" s="57" t="s">
        <v>19</v>
      </c>
      <c r="B468" s="46"/>
    </row>
    <row r="469" spans="1:2" x14ac:dyDescent="0.2">
      <c r="A469" s="57" t="s">
        <v>49</v>
      </c>
      <c r="B469" s="46"/>
    </row>
    <row r="470" spans="1:2" x14ac:dyDescent="0.2">
      <c r="A470" s="57" t="s">
        <v>79</v>
      </c>
      <c r="B470" s="46"/>
    </row>
    <row r="471" spans="1:2" x14ac:dyDescent="0.2">
      <c r="A471" s="57" t="s">
        <v>48</v>
      </c>
      <c r="B471" s="46"/>
    </row>
    <row r="472" spans="1:2" x14ac:dyDescent="0.2">
      <c r="A472" s="57" t="s">
        <v>95</v>
      </c>
      <c r="B472" s="46"/>
    </row>
    <row r="473" spans="1:2" x14ac:dyDescent="0.2">
      <c r="A473" s="57" t="s">
        <v>96</v>
      </c>
      <c r="B473" s="46"/>
    </row>
    <row r="474" spans="1:2" x14ac:dyDescent="0.2">
      <c r="A474" s="57" t="s">
        <v>50</v>
      </c>
      <c r="B474" s="46"/>
    </row>
    <row r="475" spans="1:2" x14ac:dyDescent="0.2">
      <c r="A475" s="57" t="s">
        <v>45</v>
      </c>
      <c r="B475" s="46"/>
    </row>
    <row r="476" spans="1:2" x14ac:dyDescent="0.2">
      <c r="A476" s="57" t="s">
        <v>20</v>
      </c>
      <c r="B476" s="46"/>
    </row>
    <row r="477" spans="1:2" x14ac:dyDescent="0.2">
      <c r="A477" s="57" t="s">
        <v>7</v>
      </c>
      <c r="B477" s="46"/>
    </row>
    <row r="478" spans="1:2" x14ac:dyDescent="0.2">
      <c r="A478" s="57" t="s">
        <v>92</v>
      </c>
      <c r="B478" s="46"/>
    </row>
    <row r="479" spans="1:2" x14ac:dyDescent="0.2">
      <c r="A479" s="57" t="s">
        <v>97</v>
      </c>
      <c r="B479" s="46"/>
    </row>
    <row r="480" spans="1:2" x14ac:dyDescent="0.2">
      <c r="A480" s="57" t="s">
        <v>129</v>
      </c>
      <c r="B480" s="46"/>
    </row>
    <row r="481" spans="1:2" x14ac:dyDescent="0.2">
      <c r="A481" s="57" t="s">
        <v>44</v>
      </c>
      <c r="B481" s="46"/>
    </row>
    <row r="482" spans="1:2" x14ac:dyDescent="0.2">
      <c r="A482" s="57" t="s">
        <v>47</v>
      </c>
      <c r="B482" s="46"/>
    </row>
    <row r="483" spans="1:2" x14ac:dyDescent="0.2">
      <c r="A483" s="57" t="s">
        <v>51</v>
      </c>
      <c r="B483" s="46"/>
    </row>
    <row r="484" spans="1:2" x14ac:dyDescent="0.2">
      <c r="A484" s="57" t="s">
        <v>98</v>
      </c>
      <c r="B484" s="46"/>
    </row>
    <row r="485" spans="1:2" x14ac:dyDescent="0.2">
      <c r="A485" s="57" t="s">
        <v>6</v>
      </c>
      <c r="B485" s="46"/>
    </row>
    <row r="486" spans="1:2" x14ac:dyDescent="0.2">
      <c r="A486" s="57" t="s">
        <v>46</v>
      </c>
      <c r="B486" s="181"/>
    </row>
    <row r="487" spans="1:2" x14ac:dyDescent="0.2">
      <c r="A487" s="57" t="s">
        <v>197</v>
      </c>
      <c r="B487" s="181"/>
    </row>
    <row r="488" spans="1:2" x14ac:dyDescent="0.2">
      <c r="A488" s="57" t="s">
        <v>180</v>
      </c>
      <c r="B488" s="181"/>
    </row>
    <row r="489" spans="1:2" x14ac:dyDescent="0.2">
      <c r="A489" s="57" t="s">
        <v>130</v>
      </c>
      <c r="B489" s="181"/>
    </row>
    <row r="490" spans="1:2" x14ac:dyDescent="0.2">
      <c r="A490" s="57" t="s">
        <v>198</v>
      </c>
      <c r="B490" s="181"/>
    </row>
    <row r="491" spans="1:2" x14ac:dyDescent="0.2">
      <c r="A491" s="57" t="s">
        <v>80</v>
      </c>
      <c r="B491" s="52"/>
    </row>
    <row r="492" spans="1:2" x14ac:dyDescent="0.2">
      <c r="A492" s="57" t="s">
        <v>70</v>
      </c>
      <c r="B492" s="52"/>
    </row>
    <row r="493" spans="1:2" x14ac:dyDescent="0.2">
      <c r="A493"/>
      <c r="B493"/>
    </row>
  </sheetData>
  <sortState xmlns:xlrd2="http://schemas.microsoft.com/office/spreadsheetml/2017/richdata2" ref="A38:B54">
    <sortCondition ref="A7"/>
  </sortState>
  <dataConsolidate/>
  <phoneticPr fontId="41" type="noConversion"/>
  <conditionalFormatting sqref="A6:H6 U7:U453 J6:U6">
    <cfRule type="expression" dxfId="161" priority="4">
      <formula>$U6&gt;60</formula>
    </cfRule>
  </conditionalFormatting>
  <conditionalFormatting sqref="A7:T451 I6">
    <cfRule type="expression" dxfId="160" priority="1">
      <formula>$U6&gt;60</formula>
    </cfRule>
  </conditionalFormatting>
  <dataValidations count="2">
    <dataValidation type="list" allowBlank="1" showInputMessage="1" showErrorMessage="1" sqref="E6:E453" xr:uid="{00000000-0002-0000-0000-000001000000}">
      <formula1>$B$462:$B$463</formula1>
    </dataValidation>
    <dataValidation type="list" allowBlank="1" showInputMessage="1" showErrorMessage="1" sqref="B6:B453" xr:uid="{C9F010C2-E57A-4A97-9AEE-C19FDBC58168}">
      <formula1>$A$461:$A$500</formula1>
    </dataValidation>
  </dataValidations>
  <pageMargins left="0.25" right="0.25" top="0.75" bottom="0.75" header="0.3" footer="0.3"/>
  <pageSetup paperSize="9" scale="66" orientation="landscape" horizontalDpi="1200" verticalDpi="1200" r:id="rId1"/>
  <headerFooter>
    <oddHeader>&amp;C&amp;"-,Negrito"&amp;12&amp;F / Planilha: &amp;A&amp;R&amp;"-,Regular"&amp;D | &amp;T Hs</oddHeader>
    <oddFooter>&amp;C&amp;"-,Regular"&amp;Z&amp;F&amp;R&amp;"-,Regular"&amp;P/&amp;N</oddFooter>
  </headerFooter>
  <colBreaks count="1" manualBreakCount="1">
    <brk id="8" max="34" man="1"/>
  </colBreaks>
  <ignoredErrors>
    <ignoredError sqref="U6:U45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Option Button 4">
              <controlPr defaultSize="0" autoFill="0" autoLine="0" autoPict="0" macro="[0]!btMateriais_VerTodos_Clique">
                <anchor>
                  <from>
                    <xdr:col>1</xdr:col>
                    <xdr:colOff>38100</xdr:colOff>
                    <xdr:row>1</xdr:row>
                    <xdr:rowOff>104775</xdr:rowOff>
                  </from>
                  <to>
                    <xdr:col>2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Option Button 5">
              <controlPr defaultSize="0" autoFill="0" autoLine="0" autoPict="0" macro="[0]!btMateriais_Utilizados_Clique">
                <anchor>
                  <from>
                    <xdr:col>2</xdr:col>
                    <xdr:colOff>438150</xdr:colOff>
                    <xdr:row>1</xdr:row>
                    <xdr:rowOff>104775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Group Box 6">
              <controlPr defaultSize="0" autoFill="0" autoPict="0">
                <anchor>
                  <from>
                    <xdr:col>0</xdr:col>
                    <xdr:colOff>942975</xdr:colOff>
                    <xdr:row>0</xdr:row>
                    <xdr:rowOff>133350</xdr:rowOff>
                  </from>
                  <to>
                    <xdr:col>4</xdr:col>
                    <xdr:colOff>609600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Option Button 13">
              <controlPr defaultSize="0" autoFill="0" autoLine="0" autoPict="0" macro="[0]!btMateriais_Completo_Clique">
                <anchor>
                  <from>
                    <xdr:col>5</xdr:col>
                    <xdr:colOff>57150</xdr:colOff>
                    <xdr:row>1</xdr:row>
                    <xdr:rowOff>104775</xdr:rowOff>
                  </from>
                  <to>
                    <xdr:col>5</xdr:col>
                    <xdr:colOff>1152525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Group Box 15">
              <controlPr defaultSize="0" autoFill="0" autoPict="0">
                <anchor>
                  <from>
                    <xdr:col>4</xdr:col>
                    <xdr:colOff>790575</xdr:colOff>
                    <xdr:row>0</xdr:row>
                    <xdr:rowOff>133350</xdr:rowOff>
                  </from>
                  <to>
                    <xdr:col>6</xdr:col>
                    <xdr:colOff>1171575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Option Button 16">
              <controlPr defaultSize="0" autoFill="0" autoLine="0" autoPict="0" macro="[0]!btMateriais_Resumo_Clique">
                <anchor>
                  <from>
                    <xdr:col>5</xdr:col>
                    <xdr:colOff>1228725</xdr:colOff>
                    <xdr:row>1</xdr:row>
                    <xdr:rowOff>104775</xdr:rowOff>
                  </from>
                  <to>
                    <xdr:col>6</xdr:col>
                    <xdr:colOff>1000125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0" name="Button 21">
              <controlPr locked="0" defaultSize="0" print="0" autoFill="0" autoPict="0" macro="[0]!btMateriais_BuscaMaterial" altText="Busca Material">
                <anchor moveWithCells="1" sizeWithCells="1">
                  <from>
                    <xdr:col>6</xdr:col>
                    <xdr:colOff>1390650</xdr:colOff>
                    <xdr:row>1</xdr:row>
                    <xdr:rowOff>47625</xdr:rowOff>
                  </from>
                  <to>
                    <xdr:col>7</xdr:col>
                    <xdr:colOff>142875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1"/>
  <dimension ref="A2:S68"/>
  <sheetViews>
    <sheetView tabSelected="1" topLeftCell="A11" zoomScale="85" zoomScaleNormal="85" workbookViewId="0">
      <selection activeCell="G69" sqref="G69"/>
    </sheetView>
  </sheetViews>
  <sheetFormatPr defaultRowHeight="15" x14ac:dyDescent="0.2"/>
  <cols>
    <col min="1" max="1" width="13.42578125" style="36" customWidth="1"/>
    <col min="2" max="2" width="13.42578125" style="36" bestFit="1" customWidth="1"/>
    <col min="3" max="3" width="11" style="36" bestFit="1" customWidth="1"/>
    <col min="4" max="4" width="8.85546875" style="36" customWidth="1"/>
    <col min="5" max="5" width="13.28515625" style="36" customWidth="1"/>
    <col min="6" max="6" width="45.5703125" style="130" customWidth="1"/>
    <col min="7" max="7" width="12.42578125" style="36" customWidth="1"/>
    <col min="8" max="8" width="14.140625" style="10" customWidth="1"/>
    <col min="9" max="9" width="13" style="10" customWidth="1"/>
    <col min="10" max="10" width="21" style="15" hidden="1" customWidth="1"/>
    <col min="11" max="11" width="14.5703125" style="15" hidden="1" customWidth="1"/>
    <col min="12" max="12" width="21" style="15" hidden="1" customWidth="1"/>
    <col min="13" max="14" width="17.5703125" style="15" hidden="1" customWidth="1"/>
    <col min="15" max="15" width="7.140625" style="22" hidden="1" customWidth="1"/>
    <col min="16" max="16" width="5.5703125" style="15" customWidth="1"/>
    <col min="17" max="17" width="14.28515625" style="15" customWidth="1"/>
    <col min="18" max="18" width="16.85546875" style="11" customWidth="1"/>
    <col min="19" max="19" width="10.7109375" style="1" customWidth="1"/>
    <col min="20" max="16384" width="9.140625" style="11"/>
  </cols>
  <sheetData>
    <row r="2" spans="1:19" ht="63" x14ac:dyDescent="0.2">
      <c r="B2" s="6"/>
      <c r="C2" s="6"/>
      <c r="D2" s="6"/>
      <c r="E2" s="6"/>
      <c r="F2" s="6"/>
      <c r="G2" s="169" t="s">
        <v>172</v>
      </c>
      <c r="H2" s="6"/>
      <c r="I2" s="6"/>
      <c r="J2" s="6"/>
      <c r="K2" s="6"/>
      <c r="L2" s="6"/>
      <c r="O2" s="6"/>
      <c r="P2" s="6"/>
      <c r="Q2" s="6"/>
      <c r="R2" s="6"/>
    </row>
    <row r="3" spans="1:19" ht="18.75" x14ac:dyDescent="0.2">
      <c r="A3" s="6"/>
      <c r="B3" s="6"/>
      <c r="C3" s="6"/>
      <c r="D3" s="6"/>
      <c r="E3" s="6"/>
      <c r="F3" s="6"/>
      <c r="G3" s="131"/>
      <c r="H3" s="6"/>
      <c r="I3" s="6"/>
      <c r="J3" s="6"/>
      <c r="K3" s="6"/>
      <c r="L3" s="6"/>
      <c r="O3" s="6"/>
      <c r="P3" s="6"/>
      <c r="Q3" s="6"/>
      <c r="R3" s="6"/>
    </row>
    <row r="5" spans="1:19" s="32" customFormat="1" ht="38.25" x14ac:dyDescent="0.2">
      <c r="A5" s="12" t="s">
        <v>85</v>
      </c>
      <c r="B5" s="12" t="s">
        <v>86</v>
      </c>
      <c r="C5" s="12" t="s">
        <v>100</v>
      </c>
      <c r="D5" s="12" t="s">
        <v>22</v>
      </c>
      <c r="E5" s="12" t="s">
        <v>2</v>
      </c>
      <c r="F5" s="12" t="s">
        <v>3</v>
      </c>
      <c r="G5" s="12" t="s">
        <v>158</v>
      </c>
      <c r="H5" s="16" t="s">
        <v>34</v>
      </c>
      <c r="I5" s="16" t="s">
        <v>84</v>
      </c>
      <c r="J5" s="16" t="s">
        <v>68</v>
      </c>
      <c r="K5" s="16" t="s">
        <v>27</v>
      </c>
      <c r="L5" s="16" t="s">
        <v>26</v>
      </c>
      <c r="M5" s="16" t="s">
        <v>83</v>
      </c>
      <c r="N5" s="16" t="s">
        <v>101</v>
      </c>
      <c r="O5" s="19" t="s">
        <v>29</v>
      </c>
      <c r="P5" s="37" t="s">
        <v>30</v>
      </c>
      <c r="Q5" s="23" t="s">
        <v>28</v>
      </c>
      <c r="R5" s="16" t="s">
        <v>35</v>
      </c>
      <c r="S5" s="40"/>
    </row>
    <row r="6" spans="1:19" x14ac:dyDescent="0.2">
      <c r="A6" s="1">
        <v>0</v>
      </c>
      <c r="B6" s="1">
        <v>0</v>
      </c>
      <c r="C6" s="1">
        <f>IF(AND(ServicoFull[[#This Row],[Tipo]]&lt;&gt;"Despesas",ServicoFull[[#This Row],[Tipo]]&lt;&gt;"Comercial"),A6*B6,0)</f>
        <v>0</v>
      </c>
      <c r="D6" s="1" t="s">
        <v>24</v>
      </c>
      <c r="E6" s="1" t="s">
        <v>25</v>
      </c>
      <c r="F6" s="132" t="s">
        <v>135</v>
      </c>
      <c r="G6" s="33" t="s">
        <v>161</v>
      </c>
      <c r="H6" s="5">
        <f>IF(ServicoFull[[#This Row],[Grau de 
Complexidade]]=$L$43,H49,IF(ServicoFull[[#This Row],[Grau de 
Complexidade]]=$L$44,I49,IF(ServicoFull[[#This Row],[Grau de 
Complexidade]]=$L$45,J49,"Inserir Grau de Complexidade")))</f>
        <v>192</v>
      </c>
      <c r="I6" s="17">
        <f>ServicoFull[[#This Row],[Qtde.
Recursos]]*ServicoFull[[#This Row],[Qtde.
Utilizado]]*ServicoFull[[#This Row],[Custo Unitário
Sem Tributos  (R$)]]</f>
        <v>0</v>
      </c>
      <c r="J6" s="18">
        <v>35</v>
      </c>
      <c r="K6" s="18">
        <f>ServicoFull[[#This Row],[Qtde.
Recursos]]*ServicoFull[[#This Row],[Qtde.
Utilizado]]*ServicoFull[[#This Row],[Custo Interno (R$)]]</f>
        <v>0</v>
      </c>
      <c r="L6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6" s="18">
        <f>ServicoFull[[#This Row],[Valor Total 
Sem Tributos (R$)]]/(1-('Valores Finais'!$C$11))</f>
        <v>0</v>
      </c>
      <c r="N6" s="18">
        <f>ServicoFull[[#This Row],[Valor Venda c/ Potencial Desconto  em Serviço (R$)]]/(1-('Valores Finais'!$C$6))</f>
        <v>0</v>
      </c>
      <c r="O6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6" s="41">
        <f>'Valores Finais'!$B$11</f>
        <v>0.16</v>
      </c>
      <c r="Q6" s="17">
        <f>ServicoFull[[#This Row],[Valor Venda c/ Comissões (R$)]]/(1-ServicoFull[[#This Row],[Tributos
(%)]])-ServicoFull[[#This Row],[Valor Venda c/ Comissões (R$)]]</f>
        <v>0</v>
      </c>
      <c r="R6" s="18">
        <f>ServicoFull[[#This Row],[Valor Venda c/ Comissões (R$)]]+ServicoFull[[#This Row],[Tributos
(R$)]]</f>
        <v>0</v>
      </c>
    </row>
    <row r="7" spans="1:19" x14ac:dyDescent="0.2">
      <c r="A7" s="1">
        <v>0</v>
      </c>
      <c r="B7" s="1">
        <v>0</v>
      </c>
      <c r="C7" s="1">
        <f>IF(AND(ServicoFull[[#This Row],[Tipo]]&lt;&gt;"Despesas",ServicoFull[[#This Row],[Tipo]]&lt;&gt;"Comercial"),A7*B7,0)</f>
        <v>0</v>
      </c>
      <c r="D7" s="1" t="s">
        <v>24</v>
      </c>
      <c r="E7" s="1" t="s">
        <v>25</v>
      </c>
      <c r="F7" s="132" t="s">
        <v>136</v>
      </c>
      <c r="G7" s="33" t="s">
        <v>161</v>
      </c>
      <c r="H7" s="5">
        <f>IF(ServicoFull[[#This Row],[Grau de 
Complexidade]]=$L$43,H50,IF(ServicoFull[[#This Row],[Grau de 
Complexidade]]=$L$44,I50,IF(ServicoFull[[#This Row],[Grau de 
Complexidade]]=$L$45,J50,"Inserir Grau de Complexidade")))</f>
        <v>102</v>
      </c>
      <c r="I7" s="17">
        <f>ServicoFull[[#This Row],[Qtde.
Recursos]]*ServicoFull[[#This Row],[Qtde.
Utilizado]]*ServicoFull[[#This Row],[Custo Unitário
Sem Tributos  (R$)]]</f>
        <v>0</v>
      </c>
      <c r="J7" s="18">
        <v>35</v>
      </c>
      <c r="K7" s="18">
        <f>ServicoFull[[#This Row],[Qtde.
Recursos]]*ServicoFull[[#This Row],[Qtde.
Utilizado]]*ServicoFull[[#This Row],[Custo Interno (R$)]]</f>
        <v>0</v>
      </c>
      <c r="L7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7" s="18">
        <f>ServicoFull[[#This Row],[Valor Total 
Sem Tributos (R$)]]/(1-('Valores Finais'!$C$11))</f>
        <v>0</v>
      </c>
      <c r="N7" s="18">
        <f>ServicoFull[[#This Row],[Valor Venda c/ Potencial Desconto  em Serviço (R$)]]/(1-('Valores Finais'!$C$6))</f>
        <v>0</v>
      </c>
      <c r="O7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7" s="41">
        <f>'Valores Finais'!$B$11</f>
        <v>0.16</v>
      </c>
      <c r="Q7" s="17">
        <f>ServicoFull[[#This Row],[Valor Venda c/ Comissões (R$)]]/(1-ServicoFull[[#This Row],[Tributos
(%)]])-ServicoFull[[#This Row],[Valor Venda c/ Comissões (R$)]]</f>
        <v>0</v>
      </c>
      <c r="R7" s="18">
        <f>ServicoFull[[#This Row],[Valor Venda c/ Comissões (R$)]]+ServicoFull[[#This Row],[Tributos
(R$)]]</f>
        <v>0</v>
      </c>
    </row>
    <row r="8" spans="1:19" ht="25.5" x14ac:dyDescent="0.2">
      <c r="A8" s="1">
        <v>0</v>
      </c>
      <c r="B8" s="1">
        <v>0</v>
      </c>
      <c r="C8" s="1">
        <f>IF(AND(ServicoFull[[#This Row],[Tipo]]&lt;&gt;"Despesas",ServicoFull[[#This Row],[Tipo]]&lt;&gt;"Comercial"),A8*B8,0)</f>
        <v>0</v>
      </c>
      <c r="D8" s="1" t="s">
        <v>24</v>
      </c>
      <c r="E8" s="1" t="s">
        <v>25</v>
      </c>
      <c r="F8" s="132" t="s">
        <v>123</v>
      </c>
      <c r="G8" s="33" t="s">
        <v>161</v>
      </c>
      <c r="H8" s="5">
        <f>IF(ServicoFull[[#This Row],[Grau de 
Complexidade]]=$L$43,H51,IF(ServicoFull[[#This Row],[Grau de 
Complexidade]]=$L$44,I51,IF(ServicoFull[[#This Row],[Grau de 
Complexidade]]=$L$45,J51,"Inserir Grau de Complexidade")))</f>
        <v>192</v>
      </c>
      <c r="I8" s="17">
        <f>ServicoFull[[#This Row],[Qtde.
Recursos]]*ServicoFull[[#This Row],[Qtde.
Utilizado]]*ServicoFull[[#This Row],[Custo Unitário
Sem Tributos  (R$)]]</f>
        <v>0</v>
      </c>
      <c r="J8" s="18">
        <v>12</v>
      </c>
      <c r="K8" s="18">
        <f>ServicoFull[[#This Row],[Qtde.
Recursos]]*ServicoFull[[#This Row],[Qtde.
Utilizado]]*ServicoFull[[#This Row],[Custo Interno (R$)]]</f>
        <v>0</v>
      </c>
      <c r="L8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8" s="18">
        <f>ServicoFull[[#This Row],[Valor Total 
Sem Tributos (R$)]]/(1-('Valores Finais'!$C$11))</f>
        <v>0</v>
      </c>
      <c r="N8" s="18">
        <f>ServicoFull[[#This Row],[Valor Venda c/ Potencial Desconto  em Serviço (R$)]]/(1-('Valores Finais'!$C$6))</f>
        <v>0</v>
      </c>
      <c r="O8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8" s="41">
        <f>'Valores Finais'!$B$11</f>
        <v>0.16</v>
      </c>
      <c r="Q8" s="17">
        <f>ServicoFull[[#This Row],[Valor Venda c/ Comissões (R$)]]/(1-ServicoFull[[#This Row],[Tributos
(%)]])-ServicoFull[[#This Row],[Valor Venda c/ Comissões (R$)]]</f>
        <v>0</v>
      </c>
      <c r="R8" s="18">
        <f>ServicoFull[[#This Row],[Valor Venda c/ Comissões (R$)]]+ServicoFull[[#This Row],[Tributos
(R$)]]</f>
        <v>0</v>
      </c>
    </row>
    <row r="9" spans="1:19" x14ac:dyDescent="0.2">
      <c r="A9" s="1">
        <v>1</v>
      </c>
      <c r="B9" s="1">
        <v>0</v>
      </c>
      <c r="C9" s="1">
        <f>IF(AND(ServicoFull[[#This Row],[Tipo]]&lt;&gt;"Despesas",ServicoFull[[#This Row],[Tipo]]&lt;&gt;"Comercial"),A9*B9,0)</f>
        <v>0</v>
      </c>
      <c r="D9" s="1" t="s">
        <v>24</v>
      </c>
      <c r="E9" s="1" t="s">
        <v>58</v>
      </c>
      <c r="F9" s="132" t="s">
        <v>131</v>
      </c>
      <c r="G9" s="33" t="s">
        <v>161</v>
      </c>
      <c r="H9" s="5">
        <f>IF(ServicoFull[[#This Row],[Grau de 
Complexidade]]=$L$43,H52,IF(ServicoFull[[#This Row],[Grau de 
Complexidade]]=$L$44,I52,IF(ServicoFull[[#This Row],[Grau de 
Complexidade]]=$L$45,J52,"Inserir Grau de Complexidade")))</f>
        <v>102</v>
      </c>
      <c r="I9" s="17">
        <f>ServicoFull[[#This Row],[Qtde.
Recursos]]*ServicoFull[[#This Row],[Qtde.
Utilizado]]*ServicoFull[[#This Row],[Custo Unitário
Sem Tributos  (R$)]]</f>
        <v>0</v>
      </c>
      <c r="J9" s="18">
        <v>35</v>
      </c>
      <c r="K9" s="18">
        <f>ServicoFull[[#This Row],[Qtde.
Recursos]]*ServicoFull[[#This Row],[Qtde.
Utilizado]]*ServicoFull[[#This Row],[Custo Interno (R$)]]</f>
        <v>0</v>
      </c>
      <c r="L9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9" s="18">
        <f>ServicoFull[[#This Row],[Valor Total 
Sem Tributos (R$)]]/(1-('Valores Finais'!$C$11))</f>
        <v>0</v>
      </c>
      <c r="N9" s="18">
        <f>ServicoFull[[#This Row],[Valor Venda c/ Potencial Desconto  em Serviço (R$)]]/(1-('Valores Finais'!$C$6))</f>
        <v>0</v>
      </c>
      <c r="O9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9" s="41">
        <f>'Valores Finais'!$B$11</f>
        <v>0.16</v>
      </c>
      <c r="Q9" s="17">
        <f>ServicoFull[[#This Row],[Valor Venda c/ Comissões (R$)]]/(1-ServicoFull[[#This Row],[Tributos
(%)]])-ServicoFull[[#This Row],[Valor Venda c/ Comissões (R$)]]</f>
        <v>0</v>
      </c>
      <c r="R9" s="18">
        <f>ServicoFull[[#This Row],[Valor Venda c/ Comissões (R$)]]+ServicoFull[[#This Row],[Tributos
(R$)]]</f>
        <v>0</v>
      </c>
    </row>
    <row r="10" spans="1:19" x14ac:dyDescent="0.2">
      <c r="A10" s="1">
        <v>1</v>
      </c>
      <c r="B10" s="1">
        <v>0</v>
      </c>
      <c r="C10" s="1">
        <f>IF(AND(ServicoFull[[#This Row],[Tipo]]&lt;&gt;"Despesas",ServicoFull[[#This Row],[Tipo]]&lt;&gt;"Comercial"),A10*B10,0)</f>
        <v>0</v>
      </c>
      <c r="D10" s="1" t="s">
        <v>24</v>
      </c>
      <c r="E10" s="1" t="s">
        <v>58</v>
      </c>
      <c r="F10" s="132" t="s">
        <v>132</v>
      </c>
      <c r="G10" s="33" t="s">
        <v>161</v>
      </c>
      <c r="H10" s="5">
        <f>IF(ServicoFull[[#This Row],[Grau de 
Complexidade]]=$L$43,H53,IF(ServicoFull[[#This Row],[Grau de 
Complexidade]]=$L$44,I53,IF(ServicoFull[[#This Row],[Grau de 
Complexidade]]=$L$45,J53,"Inserir Grau de Complexidade")))</f>
        <v>192</v>
      </c>
      <c r="I10" s="17">
        <f>ServicoFull[[#This Row],[Qtde.
Recursos]]*ServicoFull[[#This Row],[Qtde.
Utilizado]]*ServicoFull[[#This Row],[Custo Unitário
Sem Tributos  (R$)]]</f>
        <v>0</v>
      </c>
      <c r="J10" s="18">
        <v>35</v>
      </c>
      <c r="K10" s="18">
        <f>ServicoFull[[#This Row],[Qtde.
Recursos]]*ServicoFull[[#This Row],[Qtde.
Utilizado]]*ServicoFull[[#This Row],[Custo Interno (R$)]]</f>
        <v>0</v>
      </c>
      <c r="L10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0" s="18">
        <f>ServicoFull[[#This Row],[Valor Total 
Sem Tributos (R$)]]/(1-('Valores Finais'!$C$11))</f>
        <v>0</v>
      </c>
      <c r="N10" s="18">
        <f>ServicoFull[[#This Row],[Valor Venda c/ Potencial Desconto  em Serviço (R$)]]/(1-('Valores Finais'!$C$6))</f>
        <v>0</v>
      </c>
      <c r="O10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10" s="41">
        <f>'Valores Finais'!$B$11</f>
        <v>0.16</v>
      </c>
      <c r="Q10" s="17">
        <f>ServicoFull[[#This Row],[Valor Venda c/ Comissões (R$)]]/(1-ServicoFull[[#This Row],[Tributos
(%)]])-ServicoFull[[#This Row],[Valor Venda c/ Comissões (R$)]]</f>
        <v>0</v>
      </c>
      <c r="R10" s="18">
        <f>ServicoFull[[#This Row],[Valor Venda c/ Comissões (R$)]]+ServicoFull[[#This Row],[Tributos
(R$)]]</f>
        <v>0</v>
      </c>
    </row>
    <row r="11" spans="1:19" x14ac:dyDescent="0.2">
      <c r="A11" s="1">
        <v>1</v>
      </c>
      <c r="B11" s="1">
        <v>0</v>
      </c>
      <c r="C11" s="1">
        <f>IF(AND(ServicoFull[[#This Row],[Tipo]]&lt;&gt;"Despesas",ServicoFull[[#This Row],[Tipo]]&lt;&gt;"Comercial"),A11*B11,0)</f>
        <v>0</v>
      </c>
      <c r="D11" s="1" t="s">
        <v>24</v>
      </c>
      <c r="E11" s="1" t="s">
        <v>75</v>
      </c>
      <c r="F11" s="132" t="s">
        <v>137</v>
      </c>
      <c r="G11" s="33" t="s">
        <v>161</v>
      </c>
      <c r="H11" s="5">
        <f>IF(ServicoFull[[#This Row],[Grau de 
Complexidade]]=$L$43,H54,IF(ServicoFull[[#This Row],[Grau de 
Complexidade]]=$L$44,I54,IF(ServicoFull[[#This Row],[Grau de 
Complexidade]]=$L$45,J54,"Inserir Grau de Complexidade")))</f>
        <v>102</v>
      </c>
      <c r="I11" s="17">
        <f>ServicoFull[[#This Row],[Qtde.
Recursos]]*ServicoFull[[#This Row],[Qtde.
Utilizado]]*ServicoFull[[#This Row],[Custo Unitário
Sem Tributos  (R$)]]</f>
        <v>0</v>
      </c>
      <c r="J11" s="18">
        <v>35</v>
      </c>
      <c r="K11" s="18">
        <f>ServicoFull[[#This Row],[Qtde.
Recursos]]*ServicoFull[[#This Row],[Qtde.
Utilizado]]*ServicoFull[[#This Row],[Custo Interno (R$)]]</f>
        <v>0</v>
      </c>
      <c r="L11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1" s="18">
        <f>ServicoFull[[#This Row],[Valor Total 
Sem Tributos (R$)]]/(1-('Valores Finais'!$C$11))</f>
        <v>0</v>
      </c>
      <c r="N11" s="18">
        <f>ServicoFull[[#This Row],[Valor Venda c/ Potencial Desconto  em Serviço (R$)]]/(1-('Valores Finais'!$C$6))</f>
        <v>0</v>
      </c>
      <c r="O11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11" s="41">
        <f>'Valores Finais'!$B$11</f>
        <v>0.16</v>
      </c>
      <c r="Q11" s="17">
        <f>ServicoFull[[#This Row],[Valor Venda c/ Comissões (R$)]]/(1-ServicoFull[[#This Row],[Tributos
(%)]])-ServicoFull[[#This Row],[Valor Venda c/ Comissões (R$)]]</f>
        <v>0</v>
      </c>
      <c r="R11" s="18">
        <f>ServicoFull[[#This Row],[Valor Venda c/ Comissões (R$)]]+ServicoFull[[#This Row],[Tributos
(R$)]]</f>
        <v>0</v>
      </c>
    </row>
    <row r="12" spans="1:19" x14ac:dyDescent="0.2">
      <c r="A12" s="1">
        <v>1</v>
      </c>
      <c r="B12" s="1">
        <v>0</v>
      </c>
      <c r="C12" s="1">
        <f>IF(AND(ServicoFull[[#This Row],[Tipo]]&lt;&gt;"Despesas",ServicoFull[[#This Row],[Tipo]]&lt;&gt;"Comercial"),A12*B12,0)</f>
        <v>0</v>
      </c>
      <c r="D12" s="1" t="s">
        <v>24</v>
      </c>
      <c r="E12" s="1" t="s">
        <v>75</v>
      </c>
      <c r="F12" s="132" t="s">
        <v>139</v>
      </c>
      <c r="G12" s="33" t="s">
        <v>161</v>
      </c>
      <c r="H12" s="5">
        <f>IF(ServicoFull[[#This Row],[Grau de 
Complexidade]]=$L$43,H55,IF(ServicoFull[[#This Row],[Grau de 
Complexidade]]=$L$44,I55,IF(ServicoFull[[#This Row],[Grau de 
Complexidade]]=$L$45,J55,"Inserir Grau de Complexidade")))</f>
        <v>192</v>
      </c>
      <c r="I12" s="17">
        <f>ServicoFull[[#This Row],[Qtde.
Recursos]]*ServicoFull[[#This Row],[Qtde.
Utilizado]]*ServicoFull[[#This Row],[Custo Unitário
Sem Tributos  (R$)]]</f>
        <v>0</v>
      </c>
      <c r="J12" s="18">
        <v>35</v>
      </c>
      <c r="K12" s="18">
        <f>ServicoFull[[#This Row],[Qtde.
Recursos]]*ServicoFull[[#This Row],[Qtde.
Utilizado]]*ServicoFull[[#This Row],[Custo Interno (R$)]]</f>
        <v>0</v>
      </c>
      <c r="L12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2" s="18">
        <f>ServicoFull[[#This Row],[Valor Total 
Sem Tributos (R$)]]/(1-('Valores Finais'!$C$11))</f>
        <v>0</v>
      </c>
      <c r="N12" s="18">
        <f>ServicoFull[[#This Row],[Valor Venda c/ Potencial Desconto  em Serviço (R$)]]/(1-('Valores Finais'!$C$6))</f>
        <v>0</v>
      </c>
      <c r="O12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12" s="41">
        <f>'Valores Finais'!$B$11</f>
        <v>0.16</v>
      </c>
      <c r="Q12" s="17">
        <f>ServicoFull[[#This Row],[Valor Venda c/ Comissões (R$)]]/(1-ServicoFull[[#This Row],[Tributos
(%)]])-ServicoFull[[#This Row],[Valor Venda c/ Comissões (R$)]]</f>
        <v>0</v>
      </c>
      <c r="R12" s="18">
        <f>ServicoFull[[#This Row],[Valor Venda c/ Comissões (R$)]]+ServicoFull[[#This Row],[Tributos
(R$)]]</f>
        <v>0</v>
      </c>
    </row>
    <row r="13" spans="1:19" ht="25.5" x14ac:dyDescent="0.2">
      <c r="A13" s="1">
        <v>0</v>
      </c>
      <c r="B13" s="1">
        <v>0</v>
      </c>
      <c r="C13" s="1">
        <f>IF(AND(ServicoFull[[#This Row],[Tipo]]&lt;&gt;"Despesas",ServicoFull[[#This Row],[Tipo]]&lt;&gt;"Comercial"),A13*B13,0)</f>
        <v>0</v>
      </c>
      <c r="D13" s="1" t="s">
        <v>24</v>
      </c>
      <c r="E13" s="1" t="s">
        <v>75</v>
      </c>
      <c r="F13" s="132" t="s">
        <v>141</v>
      </c>
      <c r="G13" s="33" t="s">
        <v>161</v>
      </c>
      <c r="H13" s="5">
        <f>IF(ServicoFull[[#This Row],[Grau de 
Complexidade]]=$L$43,H56,IF(ServicoFull[[#This Row],[Grau de 
Complexidade]]=$L$44,I56,IF(ServicoFull[[#This Row],[Grau de 
Complexidade]]=$L$45,J56,"Inserir Grau de Complexidade")))</f>
        <v>102</v>
      </c>
      <c r="I13" s="17">
        <f>ServicoFull[[#This Row],[Qtde.
Recursos]]*ServicoFull[[#This Row],[Qtde.
Utilizado]]*ServicoFull[[#This Row],[Custo Unitário
Sem Tributos  (R$)]]</f>
        <v>0</v>
      </c>
      <c r="J13" s="18">
        <v>35</v>
      </c>
      <c r="K13" s="18">
        <f>ServicoFull[[#This Row],[Qtde.
Recursos]]*ServicoFull[[#This Row],[Qtde.
Utilizado]]*ServicoFull[[#This Row],[Custo Interno (R$)]]</f>
        <v>0</v>
      </c>
      <c r="L13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3" s="18">
        <f>ServicoFull[[#This Row],[Valor Total 
Sem Tributos (R$)]]/(1-('Valores Finais'!$C$11))</f>
        <v>0</v>
      </c>
      <c r="N13" s="18">
        <f>ServicoFull[[#This Row],[Valor Venda c/ Potencial Desconto  em Serviço (R$)]]/(1-('Valores Finais'!$C$6))</f>
        <v>0</v>
      </c>
      <c r="O13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13" s="41">
        <f>'Valores Finais'!$B$11</f>
        <v>0.16</v>
      </c>
      <c r="Q13" s="17">
        <f>ServicoFull[[#This Row],[Valor Venda c/ Comissões (R$)]]/(1-ServicoFull[[#This Row],[Tributos
(%)]])-ServicoFull[[#This Row],[Valor Venda c/ Comissões (R$)]]</f>
        <v>0</v>
      </c>
      <c r="R13" s="18">
        <f>ServicoFull[[#This Row],[Valor Venda c/ Comissões (R$)]]+ServicoFull[[#This Row],[Tributos
(R$)]]</f>
        <v>0</v>
      </c>
    </row>
    <row r="14" spans="1:19" ht="25.5" x14ac:dyDescent="0.2">
      <c r="A14" s="1">
        <v>1</v>
      </c>
      <c r="B14" s="1">
        <v>0</v>
      </c>
      <c r="C14" s="1">
        <f>IF(AND(ServicoFull[[#This Row],[Tipo]]&lt;&gt;"Despesas",ServicoFull[[#This Row],[Tipo]]&lt;&gt;"Comercial"),A14*B14,0)</f>
        <v>0</v>
      </c>
      <c r="D14" s="1" t="s">
        <v>24</v>
      </c>
      <c r="E14" s="1" t="s">
        <v>75</v>
      </c>
      <c r="F14" s="132" t="s">
        <v>143</v>
      </c>
      <c r="G14" s="33" t="s">
        <v>161</v>
      </c>
      <c r="H14" s="5">
        <f>IF(ServicoFull[[#This Row],[Grau de 
Complexidade]]=$L$43,H57,IF(ServicoFull[[#This Row],[Grau de 
Complexidade]]=$L$44,I57,IF(ServicoFull[[#This Row],[Grau de 
Complexidade]]=$L$45,J57,"Inserir Grau de Complexidade")))</f>
        <v>192</v>
      </c>
      <c r="I14" s="17">
        <f>ServicoFull[[#This Row],[Qtde.
Recursos]]*ServicoFull[[#This Row],[Qtde.
Utilizado]]*ServicoFull[[#This Row],[Custo Unitário
Sem Tributos  (R$)]]</f>
        <v>0</v>
      </c>
      <c r="J14" s="18">
        <v>35</v>
      </c>
      <c r="K14" s="18">
        <f>ServicoFull[[#This Row],[Qtde.
Recursos]]*ServicoFull[[#This Row],[Qtde.
Utilizado]]*ServicoFull[[#This Row],[Custo Interno (R$)]]</f>
        <v>0</v>
      </c>
      <c r="L14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4" s="18">
        <f>ServicoFull[[#This Row],[Valor Total 
Sem Tributos (R$)]]/(1-('Valores Finais'!$C$11))</f>
        <v>0</v>
      </c>
      <c r="N14" s="18">
        <f>ServicoFull[[#This Row],[Valor Venda c/ Potencial Desconto  em Serviço (R$)]]/(1-('Valores Finais'!$C$6))</f>
        <v>0</v>
      </c>
      <c r="O14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14" s="41">
        <f>'Valores Finais'!$B$11</f>
        <v>0.16</v>
      </c>
      <c r="Q14" s="17">
        <f>ServicoFull[[#This Row],[Valor Venda c/ Comissões (R$)]]/(1-ServicoFull[[#This Row],[Tributos
(%)]])-ServicoFull[[#This Row],[Valor Venda c/ Comissões (R$)]]</f>
        <v>0</v>
      </c>
      <c r="R14" s="18">
        <f>ServicoFull[[#This Row],[Valor Venda c/ Comissões (R$)]]+ServicoFull[[#This Row],[Tributos
(R$)]]</f>
        <v>0</v>
      </c>
    </row>
    <row r="15" spans="1:19" x14ac:dyDescent="0.2">
      <c r="A15" s="1">
        <v>0</v>
      </c>
      <c r="B15" s="1">
        <v>0</v>
      </c>
      <c r="C15" s="1">
        <f>IF(AND(ServicoFull[[#This Row],[Tipo]]&lt;&gt;"Despesas",ServicoFull[[#This Row],[Tipo]]&lt;&gt;"Comercial"),A15*B15,0)</f>
        <v>0</v>
      </c>
      <c r="D15" s="1" t="s">
        <v>24</v>
      </c>
      <c r="E15" s="1" t="s">
        <v>75</v>
      </c>
      <c r="F15" s="132" t="s">
        <v>125</v>
      </c>
      <c r="G15" s="33" t="s">
        <v>161</v>
      </c>
      <c r="H15" s="5">
        <f>IF(ServicoFull[[#This Row],[Grau de 
Complexidade]]=$L$43,H58,IF(ServicoFull[[#This Row],[Grau de 
Complexidade]]=$L$44,I58,IF(ServicoFull[[#This Row],[Grau de 
Complexidade]]=$L$45,J58,"Inserir Grau de Complexidade")))</f>
        <v>102</v>
      </c>
      <c r="I15" s="17">
        <f>ServicoFull[[#This Row],[Qtde.
Recursos]]*ServicoFull[[#This Row],[Qtde.
Utilizado]]*ServicoFull[[#This Row],[Custo Unitário
Sem Tributos  (R$)]]</f>
        <v>0</v>
      </c>
      <c r="J15" s="18">
        <v>35</v>
      </c>
      <c r="K15" s="18">
        <f>ServicoFull[[#This Row],[Qtde.
Recursos]]*ServicoFull[[#This Row],[Qtde.
Utilizado]]*ServicoFull[[#This Row],[Custo Interno (R$)]]</f>
        <v>0</v>
      </c>
      <c r="L15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5" s="18">
        <f>ServicoFull[[#This Row],[Valor Total 
Sem Tributos (R$)]]/(1-('Valores Finais'!$C$11))</f>
        <v>0</v>
      </c>
      <c r="N15" s="18">
        <f>ServicoFull[[#This Row],[Valor Venda c/ Potencial Desconto  em Serviço (R$)]]/(1-('Valores Finais'!$C$6))</f>
        <v>0</v>
      </c>
      <c r="O15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15" s="41">
        <f>'Valores Finais'!$B$11</f>
        <v>0.16</v>
      </c>
      <c r="Q15" s="17">
        <f>ServicoFull[[#This Row],[Valor Venda c/ Comissões (R$)]]/(1-ServicoFull[[#This Row],[Tributos
(%)]])-ServicoFull[[#This Row],[Valor Venda c/ Comissões (R$)]]</f>
        <v>0</v>
      </c>
      <c r="R15" s="18">
        <f>ServicoFull[[#This Row],[Valor Venda c/ Comissões (R$)]]+ServicoFull[[#This Row],[Tributos
(R$)]]</f>
        <v>0</v>
      </c>
    </row>
    <row r="16" spans="1:19" ht="25.5" x14ac:dyDescent="0.2">
      <c r="A16" s="1">
        <v>0</v>
      </c>
      <c r="B16" s="1">
        <v>0</v>
      </c>
      <c r="C16" s="1">
        <v>0</v>
      </c>
      <c r="D16" s="1" t="s">
        <v>24</v>
      </c>
      <c r="E16" s="1" t="s">
        <v>75</v>
      </c>
      <c r="F16" s="132" t="s">
        <v>173</v>
      </c>
      <c r="G16" s="33" t="s">
        <v>161</v>
      </c>
      <c r="H16" s="5">
        <f>IF(ServicoFull[[#This Row],[Grau de 
Complexidade]]=$L$43,H59,IF(ServicoFull[[#This Row],[Grau de 
Complexidade]]=$L$44,I59,IF(ServicoFull[[#This Row],[Grau de 
Complexidade]]=$L$45,J59,"Inserir Grau de Complexidade")))</f>
        <v>192</v>
      </c>
      <c r="I16" s="17">
        <f>ServicoFull[[#This Row],[Qtde.
Recursos]]*ServicoFull[[#This Row],[Qtde.
Utilizado]]*ServicoFull[[#This Row],[Custo Unitário
Sem Tributos  (R$)]]</f>
        <v>0</v>
      </c>
      <c r="J16" s="18">
        <v>35</v>
      </c>
      <c r="K16" s="18">
        <f>ServicoFull[[#This Row],[Qtde.
Recursos]]*ServicoFull[[#This Row],[Qtde.
Utilizado]]*ServicoFull[[#This Row],[Custo Interno (R$)]]</f>
        <v>0</v>
      </c>
      <c r="L16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6" s="18">
        <f>ServicoFull[[#This Row],[Valor Total 
Sem Tributos (R$)]]/(1-('Valores Finais'!$C$11))</f>
        <v>0</v>
      </c>
      <c r="N16" s="18">
        <f>ServicoFull[[#This Row],[Valor Venda c/ Potencial Desconto  em Serviço (R$)]]/(1-('Valores Finais'!$C$6))</f>
        <v>0</v>
      </c>
      <c r="O16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16" s="41">
        <f>'Valores Finais'!$B$11</f>
        <v>0.16</v>
      </c>
      <c r="Q16" s="17">
        <f>ServicoFull[[#This Row],[Valor Venda c/ Comissões (R$)]]/(1-ServicoFull[[#This Row],[Tributos
(%)]])-ServicoFull[[#This Row],[Valor Venda c/ Comissões (R$)]]</f>
        <v>0</v>
      </c>
      <c r="R16" s="18">
        <f>ServicoFull[[#This Row],[Valor Venda c/ Comissões (R$)]]+ServicoFull[[#This Row],[Tributos
(R$)]]</f>
        <v>0</v>
      </c>
    </row>
    <row r="17" spans="1:18" x14ac:dyDescent="0.2">
      <c r="A17" s="1">
        <v>0</v>
      </c>
      <c r="B17" s="1">
        <v>0</v>
      </c>
      <c r="C17" s="1">
        <f>IF(AND(ServicoFull[[#This Row],[Tipo]]&lt;&gt;"Despesas",ServicoFull[[#This Row],[Tipo]]&lt;&gt;"Comercial"),A17*B17,0)</f>
        <v>0</v>
      </c>
      <c r="D17" s="1" t="s">
        <v>24</v>
      </c>
      <c r="E17" s="1" t="s">
        <v>75</v>
      </c>
      <c r="F17" s="132" t="s">
        <v>146</v>
      </c>
      <c r="G17" s="33" t="s">
        <v>161</v>
      </c>
      <c r="H17" s="5">
        <f>IF(ServicoFull[[#This Row],[Grau de 
Complexidade]]=$L$43,H60,IF(ServicoFull[[#This Row],[Grau de 
Complexidade]]=$L$44,I60,IF(ServicoFull[[#This Row],[Grau de 
Complexidade]]=$L$45,J60,"Inserir Grau de Complexidade")))</f>
        <v>102</v>
      </c>
      <c r="I17" s="17">
        <f>ServicoFull[[#This Row],[Qtde.
Recursos]]*ServicoFull[[#This Row],[Qtde.
Utilizado]]*ServicoFull[[#This Row],[Custo Unitário
Sem Tributos  (R$)]]</f>
        <v>0</v>
      </c>
      <c r="J17" s="18">
        <v>50</v>
      </c>
      <c r="K17" s="18">
        <f>ServicoFull[[#This Row],[Qtde.
Recursos]]*ServicoFull[[#This Row],[Qtde.
Utilizado]]*ServicoFull[[#This Row],[Custo Interno (R$)]]</f>
        <v>0</v>
      </c>
      <c r="L17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7" s="18">
        <f>ServicoFull[[#This Row],[Valor Total 
Sem Tributos (R$)]]/(1-('Valores Finais'!$C$11))</f>
        <v>0</v>
      </c>
      <c r="N17" s="18">
        <f>ServicoFull[[#This Row],[Valor Venda c/ Potencial Desconto  em Serviço (R$)]]/(1-('Valores Finais'!$C$6))</f>
        <v>0</v>
      </c>
      <c r="O17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17" s="41">
        <f>'Valores Finais'!$B$11</f>
        <v>0.16</v>
      </c>
      <c r="Q17" s="17">
        <f>ServicoFull[[#This Row],[Valor Venda c/ Comissões (R$)]]/(1-ServicoFull[[#This Row],[Tributos
(%)]])-ServicoFull[[#This Row],[Valor Venda c/ Comissões (R$)]]</f>
        <v>0</v>
      </c>
      <c r="R17" s="18">
        <f>ServicoFull[[#This Row],[Valor Venda c/ Comissões (R$)]]+ServicoFull[[#This Row],[Tributos
(R$)]]</f>
        <v>0</v>
      </c>
    </row>
    <row r="18" spans="1:18" x14ac:dyDescent="0.2">
      <c r="A18" s="1">
        <v>1</v>
      </c>
      <c r="B18" s="1">
        <v>0</v>
      </c>
      <c r="C18" s="1">
        <f>IF(AND(ServicoFull[[#This Row],[Tipo]]&lt;&gt;"Despesas",ServicoFull[[#This Row],[Tipo]]&lt;&gt;"Comercial"),A18*B18,0)</f>
        <v>0</v>
      </c>
      <c r="D18" s="1" t="s">
        <v>24</v>
      </c>
      <c r="E18" s="1" t="s">
        <v>81</v>
      </c>
      <c r="F18" s="132" t="s">
        <v>150</v>
      </c>
      <c r="G18" s="33" t="s">
        <v>161</v>
      </c>
      <c r="H18" s="5">
        <f>IF(ServicoFull[[#This Row],[Grau de 
Complexidade]]=$L$43,H61,IF(ServicoFull[[#This Row],[Grau de 
Complexidade]]=$L$44,I61,IF(ServicoFull[[#This Row],[Grau de 
Complexidade]]=$L$45,J61,"Inserir Grau de Complexidade")))</f>
        <v>192</v>
      </c>
      <c r="I18" s="17">
        <f>ServicoFull[[#This Row],[Qtde.
Recursos]]*ServicoFull[[#This Row],[Qtde.
Utilizado]]*ServicoFull[[#This Row],[Custo Unitário
Sem Tributos  (R$)]]</f>
        <v>0</v>
      </c>
      <c r="J18" s="18">
        <v>25</v>
      </c>
      <c r="K18" s="18">
        <f>ServicoFull[[#This Row],[Qtde.
Recursos]]*ServicoFull[[#This Row],[Qtde.
Utilizado]]*ServicoFull[[#This Row],[Custo Interno (R$)]]</f>
        <v>0</v>
      </c>
      <c r="L18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8" s="18">
        <f>ServicoFull[[#This Row],[Valor Total 
Sem Tributos (R$)]]/(1-('Valores Finais'!$C$11))</f>
        <v>0</v>
      </c>
      <c r="N18" s="18">
        <f>ServicoFull[[#This Row],[Valor Venda c/ Potencial Desconto  em Serviço (R$)]]/(1-('Valores Finais'!$C$6))</f>
        <v>0</v>
      </c>
      <c r="O18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18" s="41">
        <f>'Valores Finais'!$B$11</f>
        <v>0.16</v>
      </c>
      <c r="Q18" s="17">
        <f>ServicoFull[[#This Row],[Valor Venda c/ Comissões (R$)]]/(1-ServicoFull[[#This Row],[Tributos
(%)]])-ServicoFull[[#This Row],[Valor Venda c/ Comissões (R$)]]</f>
        <v>0</v>
      </c>
      <c r="R18" s="18">
        <f>ServicoFull[[#This Row],[Valor Venda c/ Comissões (R$)]]+ServicoFull[[#This Row],[Tributos
(R$)]]</f>
        <v>0</v>
      </c>
    </row>
    <row r="19" spans="1:18" x14ac:dyDescent="0.2">
      <c r="A19" s="1">
        <v>1</v>
      </c>
      <c r="B19" s="1">
        <v>0</v>
      </c>
      <c r="C19" s="1">
        <f>IF(AND(ServicoFull[[#This Row],[Tipo]]&lt;&gt;"Despesas",ServicoFull[[#This Row],[Tipo]]&lt;&gt;"Comercial"),A19*B19,0)</f>
        <v>0</v>
      </c>
      <c r="D19" s="1" t="s">
        <v>24</v>
      </c>
      <c r="E19" s="1" t="s">
        <v>81</v>
      </c>
      <c r="F19" s="132" t="s">
        <v>151</v>
      </c>
      <c r="G19" s="33" t="s">
        <v>161</v>
      </c>
      <c r="H19" s="5">
        <f>IF(ServicoFull[[#This Row],[Grau de 
Complexidade]]=$L$43,H62,IF(ServicoFull[[#This Row],[Grau de 
Complexidade]]=$L$44,I62,IF(ServicoFull[[#This Row],[Grau de 
Complexidade]]=$L$45,J62,"Inserir Grau de Complexidade")))</f>
        <v>102</v>
      </c>
      <c r="I19" s="17">
        <f>ServicoFull[[#This Row],[Qtde.
Recursos]]*ServicoFull[[#This Row],[Qtde.
Utilizado]]*ServicoFull[[#This Row],[Custo Unitário
Sem Tributos  (R$)]]</f>
        <v>0</v>
      </c>
      <c r="J19" s="18">
        <v>25</v>
      </c>
      <c r="K19" s="18">
        <f>ServicoFull[[#This Row],[Qtde.
Recursos]]*ServicoFull[[#This Row],[Qtde.
Utilizado]]*ServicoFull[[#This Row],[Custo Interno (R$)]]</f>
        <v>0</v>
      </c>
      <c r="L19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19" s="18">
        <f>ServicoFull[[#This Row],[Valor Total 
Sem Tributos (R$)]]/(1-('Valores Finais'!$C$11))</f>
        <v>0</v>
      </c>
      <c r="N19" s="18">
        <f>ServicoFull[[#This Row],[Valor Venda c/ Potencial Desconto  em Serviço (R$)]]/(1-('Valores Finais'!$C$6))</f>
        <v>0</v>
      </c>
      <c r="O19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19" s="41">
        <f>'Valores Finais'!$B$11</f>
        <v>0.16</v>
      </c>
      <c r="Q19" s="17">
        <f>ServicoFull[[#This Row],[Valor Venda c/ Comissões (R$)]]/(1-ServicoFull[[#This Row],[Tributos
(%)]])-ServicoFull[[#This Row],[Valor Venda c/ Comissões (R$)]]</f>
        <v>0</v>
      </c>
      <c r="R19" s="18">
        <f>ServicoFull[[#This Row],[Valor Venda c/ Comissões (R$)]]+ServicoFull[[#This Row],[Tributos
(R$)]]</f>
        <v>0</v>
      </c>
    </row>
    <row r="20" spans="1:18" ht="19.5" customHeight="1" x14ac:dyDescent="0.2">
      <c r="A20" s="1">
        <v>1</v>
      </c>
      <c r="B20" s="1">
        <v>0</v>
      </c>
      <c r="C20" s="1">
        <f>IF(AND(ServicoFull[[#This Row],[Tipo]]&lt;&gt;"Despesas",ServicoFull[[#This Row],[Tipo]]&lt;&gt;"Comercial"),A20*B20,0)</f>
        <v>0</v>
      </c>
      <c r="D20" s="1" t="s">
        <v>24</v>
      </c>
      <c r="E20" s="1" t="s">
        <v>81</v>
      </c>
      <c r="F20" s="132" t="s">
        <v>152</v>
      </c>
      <c r="G20" s="33" t="s">
        <v>161</v>
      </c>
      <c r="H20" s="5">
        <f>IF(ServicoFull[[#This Row],[Grau de 
Complexidade]]=$L$43,H63,IF(ServicoFull[[#This Row],[Grau de 
Complexidade]]=$L$44,I63,IF(ServicoFull[[#This Row],[Grau de 
Complexidade]]=$L$45,J63,"Inserir Grau de Complexidade")))</f>
        <v>192</v>
      </c>
      <c r="I20" s="17">
        <f>ServicoFull[[#This Row],[Qtde.
Recursos]]*ServicoFull[[#This Row],[Qtde.
Utilizado]]*ServicoFull[[#This Row],[Custo Unitário
Sem Tributos  (R$)]]</f>
        <v>0</v>
      </c>
      <c r="J20" s="18">
        <v>25</v>
      </c>
      <c r="K20" s="18">
        <f>ServicoFull[[#This Row],[Qtde.
Recursos]]*ServicoFull[[#This Row],[Qtde.
Utilizado]]*ServicoFull[[#This Row],[Custo Interno (R$)]]</f>
        <v>0</v>
      </c>
      <c r="L20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0" s="18">
        <f>ServicoFull[[#This Row],[Valor Total 
Sem Tributos (R$)]]/(1-('Valores Finais'!$C$11))</f>
        <v>0</v>
      </c>
      <c r="N20" s="18">
        <f>ServicoFull[[#This Row],[Valor Venda c/ Potencial Desconto  em Serviço (R$)]]/(1-('Valores Finais'!$C$6))</f>
        <v>0</v>
      </c>
      <c r="O20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20" s="41">
        <f>'Valores Finais'!$B$11</f>
        <v>0.16</v>
      </c>
      <c r="Q20" s="17">
        <f>ServicoFull[[#This Row],[Valor Venda c/ Comissões (R$)]]/(1-ServicoFull[[#This Row],[Tributos
(%)]])-ServicoFull[[#This Row],[Valor Venda c/ Comissões (R$)]]</f>
        <v>0</v>
      </c>
      <c r="R20" s="18">
        <f>ServicoFull[[#This Row],[Valor Venda c/ Comissões (R$)]]+ServicoFull[[#This Row],[Tributos
(R$)]]</f>
        <v>0</v>
      </c>
    </row>
    <row r="21" spans="1:18" ht="25.5" x14ac:dyDescent="0.2">
      <c r="A21" s="1">
        <v>1</v>
      </c>
      <c r="B21" s="1">
        <v>0</v>
      </c>
      <c r="C21" s="1">
        <f>IF(AND(ServicoFull[[#This Row],[Tipo]]&lt;&gt;"Despesas",ServicoFull[[#This Row],[Tipo]]&lt;&gt;"Comercial"),A21*B21,0)</f>
        <v>0</v>
      </c>
      <c r="D21" s="1" t="s">
        <v>24</v>
      </c>
      <c r="E21" s="1" t="s">
        <v>75</v>
      </c>
      <c r="F21" s="132" t="s">
        <v>148</v>
      </c>
      <c r="G21" s="33" t="s">
        <v>161</v>
      </c>
      <c r="H21" s="5">
        <f>IF(ServicoFull[[#This Row],[Grau de 
Complexidade]]=$L$43,H64,IF(ServicoFull[[#This Row],[Grau de 
Complexidade]]=$L$44,I64,IF(ServicoFull[[#This Row],[Grau de 
Complexidade]]=$L$45,J64,"Inserir Grau de Complexidade")))</f>
        <v>192</v>
      </c>
      <c r="I21" s="17">
        <f>ServicoFull[[#This Row],[Qtde.
Recursos]]*ServicoFull[[#This Row],[Qtde.
Utilizado]]*ServicoFull[[#This Row],[Custo Unitário
Sem Tributos  (R$)]]</f>
        <v>0</v>
      </c>
      <c r="J21" s="18">
        <v>35</v>
      </c>
      <c r="K21" s="18">
        <f>ServicoFull[[#This Row],[Qtde.
Recursos]]*ServicoFull[[#This Row],[Qtde.
Utilizado]]*ServicoFull[[#This Row],[Custo Interno (R$)]]</f>
        <v>0</v>
      </c>
      <c r="L21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1" s="18">
        <f>ServicoFull[[#This Row],[Valor Total 
Sem Tributos (R$)]]/(1-('Valores Finais'!$C$11))</f>
        <v>0</v>
      </c>
      <c r="N21" s="18">
        <f>ServicoFull[[#This Row],[Valor Venda c/ Potencial Desconto  em Serviço (R$)]]/(1-('Valores Finais'!$C$6))</f>
        <v>0</v>
      </c>
      <c r="O21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21" s="41">
        <f>'Valores Finais'!$B$11</f>
        <v>0.16</v>
      </c>
      <c r="Q21" s="17">
        <f>ServicoFull[[#This Row],[Valor Venda c/ Comissões (R$)]]/(1-ServicoFull[[#This Row],[Tributos
(%)]])-ServicoFull[[#This Row],[Valor Venda c/ Comissões (R$)]]</f>
        <v>0</v>
      </c>
      <c r="R21" s="18">
        <f>ServicoFull[[#This Row],[Valor Venda c/ Comissões (R$)]]+ServicoFull[[#This Row],[Tributos
(R$)]]</f>
        <v>0</v>
      </c>
    </row>
    <row r="22" spans="1:18" x14ac:dyDescent="0.2">
      <c r="A22" s="1">
        <v>1</v>
      </c>
      <c r="B22" s="1">
        <v>0</v>
      </c>
      <c r="C22" s="1">
        <f>IF(AND(ServicoFull[[#This Row],[Tipo]]&lt;&gt;"Despesas",ServicoFull[[#This Row],[Tipo]]&lt;&gt;"Comercial"),A22*B22,0)</f>
        <v>0</v>
      </c>
      <c r="D22" s="1" t="s">
        <v>24</v>
      </c>
      <c r="E22" s="1" t="s">
        <v>75</v>
      </c>
      <c r="F22" s="132" t="s">
        <v>149</v>
      </c>
      <c r="G22" s="33" t="s">
        <v>161</v>
      </c>
      <c r="H22" s="5">
        <f>IF(ServicoFull[[#This Row],[Grau de 
Complexidade]]=$L$43,H65,IF(ServicoFull[[#This Row],[Grau de 
Complexidade]]=$L$44,I65,IF(ServicoFull[[#This Row],[Grau de 
Complexidade]]=$L$45,J65,"Inserir Grau de Complexidade")))</f>
        <v>192</v>
      </c>
      <c r="I22" s="17">
        <f>ServicoFull[[#This Row],[Qtde.
Recursos]]*ServicoFull[[#This Row],[Qtde.
Utilizado]]*ServicoFull[[#This Row],[Custo Unitário
Sem Tributos  (R$)]]</f>
        <v>0</v>
      </c>
      <c r="J22" s="18">
        <v>35</v>
      </c>
      <c r="K22" s="18">
        <f>ServicoFull[[#This Row],[Qtde.
Recursos]]*ServicoFull[[#This Row],[Qtde.
Utilizado]]*ServicoFull[[#This Row],[Custo Interno (R$)]]</f>
        <v>0</v>
      </c>
      <c r="L22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2" s="18">
        <f>ServicoFull[[#This Row],[Valor Total 
Sem Tributos (R$)]]/(1-('Valores Finais'!$C$11))</f>
        <v>0</v>
      </c>
      <c r="N22" s="18">
        <f>ServicoFull[[#This Row],[Valor Venda c/ Potencial Desconto  em Serviço (R$)]]/(1-('Valores Finais'!$C$6))</f>
        <v>0</v>
      </c>
      <c r="O22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22" s="41">
        <f>'Valores Finais'!$B$11</f>
        <v>0.16</v>
      </c>
      <c r="Q22" s="17">
        <f>ServicoFull[[#This Row],[Valor Venda c/ Comissões (R$)]]/(1-ServicoFull[[#This Row],[Tributos
(%)]])-ServicoFull[[#This Row],[Valor Venda c/ Comissões (R$)]]</f>
        <v>0</v>
      </c>
      <c r="R22" s="18">
        <f>ServicoFull[[#This Row],[Valor Venda c/ Comissões (R$)]]+ServicoFull[[#This Row],[Tributos
(R$)]]</f>
        <v>0</v>
      </c>
    </row>
    <row r="23" spans="1:18" x14ac:dyDescent="0.2">
      <c r="A23" s="1">
        <v>1</v>
      </c>
      <c r="B23" s="1">
        <v>0</v>
      </c>
      <c r="C23" s="1">
        <f>IF(AND(ServicoFull[[#This Row],[Tipo]]&lt;&gt;"Despesas",ServicoFull[[#This Row],[Tipo]]&lt;&gt;"Comercial"),A23*B23,0)</f>
        <v>0</v>
      </c>
      <c r="D23" s="1" t="s">
        <v>24</v>
      </c>
      <c r="E23" s="1" t="s">
        <v>69</v>
      </c>
      <c r="F23" s="132" t="s">
        <v>153</v>
      </c>
      <c r="G23" s="33" t="s">
        <v>161</v>
      </c>
      <c r="H23" s="5">
        <f>IF(ServicoFull[[#This Row],[Grau de 
Complexidade]]=$L$43,H66,IF(ServicoFull[[#This Row],[Grau de 
Complexidade]]=$L$44,I66,IF(ServicoFull[[#This Row],[Grau de 
Complexidade]]=$L$45,J66,"Inserir Grau de Complexidade")))</f>
        <v>192</v>
      </c>
      <c r="I23" s="17">
        <f>ServicoFull[[#This Row],[Qtde.
Recursos]]*ServicoFull[[#This Row],[Qtde.
Utilizado]]*ServicoFull[[#This Row],[Custo Unitário
Sem Tributos  (R$)]]</f>
        <v>0</v>
      </c>
      <c r="J23" s="18">
        <v>25</v>
      </c>
      <c r="K23" s="18">
        <f>ServicoFull[[#This Row],[Qtde.
Recursos]]*ServicoFull[[#This Row],[Qtde.
Utilizado]]*ServicoFull[[#This Row],[Custo Interno (R$)]]</f>
        <v>0</v>
      </c>
      <c r="L23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3" s="18">
        <f>ServicoFull[[#This Row],[Valor Total 
Sem Tributos (R$)]]/(1-('Valores Finais'!$C$11))</f>
        <v>0</v>
      </c>
      <c r="N23" s="18">
        <f>ServicoFull[[#This Row],[Valor Venda c/ Potencial Desconto  em Serviço (R$)]]/(1-('Valores Finais'!$C$6))</f>
        <v>0</v>
      </c>
      <c r="O23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23" s="41">
        <f>'Valores Finais'!$B$11</f>
        <v>0.16</v>
      </c>
      <c r="Q23" s="17">
        <f>ServicoFull[[#This Row],[Valor Venda c/ Comissões (R$)]]/(1-ServicoFull[[#This Row],[Tributos
(%)]])-ServicoFull[[#This Row],[Valor Venda c/ Comissões (R$)]]</f>
        <v>0</v>
      </c>
      <c r="R23" s="18">
        <f>ServicoFull[[#This Row],[Valor Venda c/ Comissões (R$)]]+ServicoFull[[#This Row],[Tributos
(R$)]]</f>
        <v>0</v>
      </c>
    </row>
    <row r="24" spans="1:18" x14ac:dyDescent="0.2">
      <c r="A24" s="1">
        <v>1</v>
      </c>
      <c r="B24" s="1">
        <v>0</v>
      </c>
      <c r="C24" s="1">
        <f>IF(AND(ServicoFull[[#This Row],[Tipo]]&lt;&gt;"Despesas",ServicoFull[[#This Row],[Tipo]]&lt;&gt;"Comercial"),A24*B24,0)</f>
        <v>0</v>
      </c>
      <c r="D24" s="1" t="s">
        <v>24</v>
      </c>
      <c r="E24" s="1" t="s">
        <v>63</v>
      </c>
      <c r="F24" s="132" t="s">
        <v>154</v>
      </c>
      <c r="G24" s="33" t="s">
        <v>161</v>
      </c>
      <c r="H24" s="5">
        <f>IF(ServicoFull[[#This Row],[Grau de 
Complexidade]]=$L$43,H67,IF(ServicoFull[[#This Row],[Grau de 
Complexidade]]=$L$44,I67,IF(ServicoFull[[#This Row],[Grau de 
Complexidade]]=$L$45,J67,"Inserir Grau de Complexidade")))</f>
        <v>192</v>
      </c>
      <c r="I24" s="17">
        <f>ServicoFull[[#This Row],[Qtde.
Recursos]]*ServicoFull[[#This Row],[Qtde.
Utilizado]]*ServicoFull[[#This Row],[Custo Unitário
Sem Tributos  (R$)]]</f>
        <v>0</v>
      </c>
      <c r="J24" s="18">
        <v>35</v>
      </c>
      <c r="K24" s="18">
        <f>ServicoFull[[#This Row],[Qtde.
Recursos]]*ServicoFull[[#This Row],[Qtde.
Utilizado]]*ServicoFull[[#This Row],[Custo Interno (R$)]]</f>
        <v>0</v>
      </c>
      <c r="L24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4" s="18">
        <f>ServicoFull[[#This Row],[Valor Total 
Sem Tributos (R$)]]/(1-('Valores Finais'!$C$11))</f>
        <v>0</v>
      </c>
      <c r="N24" s="18">
        <f>ServicoFull[[#This Row],[Valor Venda c/ Potencial Desconto  em Serviço (R$)]]/(1-('Valores Finais'!$C$6))</f>
        <v>0</v>
      </c>
      <c r="O24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24" s="41">
        <f>'Valores Finais'!$B$11</f>
        <v>0.16</v>
      </c>
      <c r="Q24" s="17">
        <f>ServicoFull[[#This Row],[Valor Venda c/ Comissões (R$)]]/(1-ServicoFull[[#This Row],[Tributos
(%)]])-ServicoFull[[#This Row],[Valor Venda c/ Comissões (R$)]]</f>
        <v>0</v>
      </c>
      <c r="R24" s="18">
        <f>ServicoFull[[#This Row],[Valor Venda c/ Comissões (R$)]]+ServicoFull[[#This Row],[Tributos
(R$)]]</f>
        <v>0</v>
      </c>
    </row>
    <row r="25" spans="1:18" x14ac:dyDescent="0.2">
      <c r="A25" s="1">
        <v>1</v>
      </c>
      <c r="B25" s="1">
        <v>0</v>
      </c>
      <c r="C25" s="1">
        <f>IF(AND(ServicoFull[[#This Row],[Tipo]]&lt;&gt;"Despesas",ServicoFull[[#This Row],[Tipo]]&lt;&gt;"Comercial"),A25*B25,0)</f>
        <v>0</v>
      </c>
      <c r="D25" s="1" t="s">
        <v>24</v>
      </c>
      <c r="E25" s="1" t="s">
        <v>63</v>
      </c>
      <c r="F25" s="132" t="s">
        <v>155</v>
      </c>
      <c r="G25" s="33" t="s">
        <v>161</v>
      </c>
      <c r="H25" s="5">
        <f>IF(ServicoFull[[#This Row],[Grau de 
Complexidade]]=$L$43,H68,IF(ServicoFull[[#This Row],[Grau de 
Complexidade]]=$L$44,I68,IF(ServicoFull[[#This Row],[Grau de 
Complexidade]]=$L$45,J68,"Inserir Grau de Complexidade")))</f>
        <v>192</v>
      </c>
      <c r="I25" s="17">
        <f>ServicoFull[[#This Row],[Qtde.
Recursos]]*ServicoFull[[#This Row],[Qtde.
Utilizado]]*ServicoFull[[#This Row],[Custo Unitário
Sem Tributos  (R$)]]</f>
        <v>0</v>
      </c>
      <c r="J25" s="18">
        <v>35</v>
      </c>
      <c r="K25" s="18">
        <f>ServicoFull[[#This Row],[Qtde.
Recursos]]*ServicoFull[[#This Row],[Qtde.
Utilizado]]*ServicoFull[[#This Row],[Custo Interno (R$)]]</f>
        <v>0</v>
      </c>
      <c r="L25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5" s="18">
        <f>ServicoFull[[#This Row],[Valor Total 
Sem Tributos (R$)]]/(1-('Valores Finais'!$C$11))</f>
        <v>0</v>
      </c>
      <c r="N25" s="18">
        <f>ServicoFull[[#This Row],[Valor Venda c/ Potencial Desconto  em Serviço (R$)]]/(1-('Valores Finais'!$C$6))</f>
        <v>0</v>
      </c>
      <c r="O25" s="20" t="e">
        <f>IF(ServicoFull[[#This Row],[Qtde.
Recursos]]&gt;0, IF(ServicoFull[[#This Row],[Custo Unitário
Sem Tributos  (R$)]] &lt;&gt; 0, ServicoFull[[#This Row],[Lucratividade (R$)]]/ServicoFull[[#This Row],[Valor Total 
Sem Tributos (R$)]],0),0)</f>
        <v>#DIV/0!</v>
      </c>
      <c r="P25" s="41">
        <f>'Valores Finais'!$B$11</f>
        <v>0.16</v>
      </c>
      <c r="Q25" s="17">
        <f>ServicoFull[[#This Row],[Valor Venda c/ Comissões (R$)]]/(1-ServicoFull[[#This Row],[Tributos
(%)]])-ServicoFull[[#This Row],[Valor Venda c/ Comissões (R$)]]</f>
        <v>0</v>
      </c>
      <c r="R25" s="18">
        <f>ServicoFull[[#This Row],[Valor Venda c/ Comissões (R$)]]+ServicoFull[[#This Row],[Tributos
(R$)]]</f>
        <v>0</v>
      </c>
    </row>
    <row r="26" spans="1:18" x14ac:dyDescent="0.2">
      <c r="A26" s="1">
        <v>1</v>
      </c>
      <c r="B26" s="1">
        <v>0</v>
      </c>
      <c r="C26" s="1">
        <f>IF(AND(ServicoFull[[#This Row],[Tipo]]&lt;&gt;"Despesas",ServicoFull[[#This Row],[Tipo]]&lt;&gt;"Comercial"),A26*B26,0)</f>
        <v>0</v>
      </c>
      <c r="D26" s="1" t="s">
        <v>23</v>
      </c>
      <c r="E26" s="1" t="s">
        <v>74</v>
      </c>
      <c r="F26" s="132" t="s">
        <v>76</v>
      </c>
      <c r="G26" s="33" t="s">
        <v>161</v>
      </c>
      <c r="H26" s="5">
        <f>IF(ServicoFull[[#This Row],[Grau de 
Complexidade]]=$L$43,H69,IF(ServicoFull[[#This Row],[Grau de 
Complexidade]]=$L$44,I69,IF(ServicoFull[[#This Row],[Grau de 
Complexidade]]=$L$45,J69,"Inserir Grau de Complexidade")))</f>
        <v>0</v>
      </c>
      <c r="I26" s="17">
        <f>ServicoFull[[#This Row],[Qtde.
Recursos]]*ServicoFull[[#This Row],[Qtde.
Utilizado]]*ServicoFull[[#This Row],[Custo Unitário
Sem Tributos  (R$)]]</f>
        <v>0</v>
      </c>
      <c r="J26" s="18">
        <v>0</v>
      </c>
      <c r="K26" s="18">
        <f>ServicoFull[[#This Row],[Qtde.
Recursos]]*ServicoFull[[#This Row],[Qtde.
Utilizado]]*ServicoFull[[#This Row],[Custo Interno (R$)]]</f>
        <v>0</v>
      </c>
      <c r="L26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6" s="18">
        <f>ServicoFull[[#This Row],[Valor Total 
Sem Tributos (R$)]]/(1-('Valores Finais'!$C$11))</f>
        <v>0</v>
      </c>
      <c r="N26" s="18">
        <f>ServicoFull[[#This Row],[Valor Venda c/ Potencial Desconto  em Serviço (R$)]]/(1-('Valores Finais'!$C$6))</f>
        <v>0</v>
      </c>
      <c r="O26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26" s="41">
        <f>'Valores Finais'!$B$11</f>
        <v>0.16</v>
      </c>
      <c r="Q26" s="17">
        <f>ServicoFull[[#This Row],[Valor Venda c/ Comissões (R$)]]/(1-ServicoFull[[#This Row],[Tributos
(%)]])-ServicoFull[[#This Row],[Valor Venda c/ Comissões (R$)]]</f>
        <v>0</v>
      </c>
      <c r="R26" s="18">
        <f>ServicoFull[[#This Row],[Valor Venda c/ Comissões (R$)]]+ServicoFull[[#This Row],[Tributos
(R$)]]</f>
        <v>0</v>
      </c>
    </row>
    <row r="27" spans="1:18" x14ac:dyDescent="0.2">
      <c r="A27" s="1">
        <v>0</v>
      </c>
      <c r="B27" s="1">
        <v>0</v>
      </c>
      <c r="C27" s="1">
        <f>IF(AND(ServicoFull[[#This Row],[Tipo]]&lt;&gt;"Despesas",ServicoFull[[#This Row],[Tipo]]&lt;&gt;"Comercial"),A27*B27,0)</f>
        <v>0</v>
      </c>
      <c r="D27" s="1" t="s">
        <v>23</v>
      </c>
      <c r="E27" s="1" t="s">
        <v>74</v>
      </c>
      <c r="F27" s="132" t="s">
        <v>87</v>
      </c>
      <c r="G27" s="33" t="s">
        <v>161</v>
      </c>
      <c r="H27" s="5">
        <f>IF(ServicoFull[[#This Row],[Grau de 
Complexidade]]=$L$43,H70,IF(ServicoFull[[#This Row],[Grau de 
Complexidade]]=$L$44,I70,IF(ServicoFull[[#This Row],[Grau de 
Complexidade]]=$L$45,J70,"Inserir Grau de Complexidade")))</f>
        <v>0</v>
      </c>
      <c r="I27" s="17">
        <f>ServicoFull[[#This Row],[Qtde.
Recursos]]*ServicoFull[[#This Row],[Qtde.
Utilizado]]*ServicoFull[[#This Row],[Custo Unitário
Sem Tributos  (R$)]]</f>
        <v>0</v>
      </c>
      <c r="J27" s="18">
        <v>0</v>
      </c>
      <c r="K27" s="18">
        <f>ServicoFull[[#This Row],[Qtde.
Recursos]]*ServicoFull[[#This Row],[Qtde.
Utilizado]]*ServicoFull[[#This Row],[Custo Interno (R$)]]</f>
        <v>0</v>
      </c>
      <c r="L27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7" s="18">
        <f>ServicoFull[[#This Row],[Valor Total 
Sem Tributos (R$)]]/(1-('Valores Finais'!$C$11))</f>
        <v>0</v>
      </c>
      <c r="N27" s="18">
        <f>ServicoFull[[#This Row],[Valor Venda c/ Potencial Desconto  em Serviço (R$)]]/(1-('Valores Finais'!$C$6))</f>
        <v>0</v>
      </c>
      <c r="O27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27" s="41">
        <f>'Valores Finais'!$B$11</f>
        <v>0.16</v>
      </c>
      <c r="Q27" s="17">
        <f>ServicoFull[[#This Row],[Valor Venda c/ Comissões (R$)]]/(1-ServicoFull[[#This Row],[Tributos
(%)]])-ServicoFull[[#This Row],[Valor Venda c/ Comissões (R$)]]</f>
        <v>0</v>
      </c>
      <c r="R27" s="18">
        <f>ServicoFull[[#This Row],[Valor Venda c/ Comissões (R$)]]+ServicoFull[[#This Row],[Tributos
(R$)]]</f>
        <v>0</v>
      </c>
    </row>
    <row r="28" spans="1:18" x14ac:dyDescent="0.2">
      <c r="A28" s="1">
        <v>0</v>
      </c>
      <c r="B28" s="1">
        <v>0</v>
      </c>
      <c r="C28" s="1">
        <f>IF(AND(ServicoFull[[#This Row],[Tipo]]&lt;&gt;"Despesas",ServicoFull[[#This Row],[Tipo]]&lt;&gt;"Comercial"),A28*B28,0)</f>
        <v>0</v>
      </c>
      <c r="D28" s="1" t="s">
        <v>23</v>
      </c>
      <c r="E28" s="1" t="s">
        <v>74</v>
      </c>
      <c r="F28" s="133" t="s">
        <v>88</v>
      </c>
      <c r="G28" s="33" t="s">
        <v>161</v>
      </c>
      <c r="H28" s="5">
        <f>IF(ServicoFull[[#This Row],[Grau de 
Complexidade]]=$L$43,H71,IF(ServicoFull[[#This Row],[Grau de 
Complexidade]]=$L$44,I71,IF(ServicoFull[[#This Row],[Grau de 
Complexidade]]=$L$45,J71,"Inserir Grau de Complexidade")))</f>
        <v>0</v>
      </c>
      <c r="I28" s="17">
        <f>ServicoFull[[#This Row],[Qtde.
Recursos]]*ServicoFull[[#This Row],[Qtde.
Utilizado]]*ServicoFull[[#This Row],[Custo Unitário
Sem Tributos  (R$)]]</f>
        <v>0</v>
      </c>
      <c r="J28" s="18">
        <v>0</v>
      </c>
      <c r="K28" s="18">
        <f>ServicoFull[[#This Row],[Qtde.
Recursos]]*ServicoFull[[#This Row],[Qtde.
Utilizado]]*ServicoFull[[#This Row],[Custo Interno (R$)]]</f>
        <v>0</v>
      </c>
      <c r="L28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8" s="18">
        <f>ServicoFull[[#This Row],[Valor Total 
Sem Tributos (R$)]]/(1-('Valores Finais'!$C$11))</f>
        <v>0</v>
      </c>
      <c r="N28" s="18">
        <f>ServicoFull[[#This Row],[Valor Venda c/ Potencial Desconto  em Serviço (R$)]]/(1-('Valores Finais'!$C$6))</f>
        <v>0</v>
      </c>
      <c r="O28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28" s="41">
        <f>'Valores Finais'!$B$11</f>
        <v>0.16</v>
      </c>
      <c r="Q28" s="17">
        <f>ServicoFull[[#This Row],[Valor Venda c/ Comissões (R$)]]/(1-ServicoFull[[#This Row],[Tributos
(%)]])-ServicoFull[[#This Row],[Valor Venda c/ Comissões (R$)]]</f>
        <v>0</v>
      </c>
      <c r="R28" s="18">
        <f>ServicoFull[[#This Row],[Valor Venda c/ Comissões (R$)]]+ServicoFull[[#This Row],[Tributos
(R$)]]</f>
        <v>0</v>
      </c>
    </row>
    <row r="29" spans="1:18" x14ac:dyDescent="0.2">
      <c r="A29" s="1">
        <v>0</v>
      </c>
      <c r="B29" s="1">
        <v>0</v>
      </c>
      <c r="C29" s="1">
        <f>IF(AND(ServicoFull[[#This Row],[Tipo]]&lt;&gt;"Despesas",ServicoFull[[#This Row],[Tipo]]&lt;&gt;"Comercial"),A29*B29,0)</f>
        <v>0</v>
      </c>
      <c r="D29" s="1" t="s">
        <v>23</v>
      </c>
      <c r="E29" s="1" t="s">
        <v>74</v>
      </c>
      <c r="F29" s="132" t="s">
        <v>89</v>
      </c>
      <c r="G29" s="33" t="s">
        <v>161</v>
      </c>
      <c r="H29" s="5">
        <f>IF(ServicoFull[[#This Row],[Grau de 
Complexidade]]=$L$43,H72,IF(ServicoFull[[#This Row],[Grau de 
Complexidade]]=$L$44,I72,IF(ServicoFull[[#This Row],[Grau de 
Complexidade]]=$L$45,J72,"Inserir Grau de Complexidade")))</f>
        <v>0</v>
      </c>
      <c r="I29" s="17">
        <f>ServicoFull[[#This Row],[Qtde.
Recursos]]*ServicoFull[[#This Row],[Qtde.
Utilizado]]*ServicoFull[[#This Row],[Custo Unitário
Sem Tributos  (R$)]]</f>
        <v>0</v>
      </c>
      <c r="J29" s="18">
        <v>0</v>
      </c>
      <c r="K29" s="18">
        <f>ServicoFull[[#This Row],[Qtde.
Recursos]]*ServicoFull[[#This Row],[Qtde.
Utilizado]]*ServicoFull[[#This Row],[Custo Interno (R$)]]</f>
        <v>0</v>
      </c>
      <c r="L29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29" s="18">
        <f>ServicoFull[[#This Row],[Valor Total 
Sem Tributos (R$)]]/(1-('Valores Finais'!$C$11))</f>
        <v>0</v>
      </c>
      <c r="N29" s="18">
        <f>ServicoFull[[#This Row],[Valor Venda c/ Potencial Desconto  em Serviço (R$)]]/(1-('Valores Finais'!$C$6))</f>
        <v>0</v>
      </c>
      <c r="O29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29" s="41">
        <f>'Valores Finais'!$B$11</f>
        <v>0.16</v>
      </c>
      <c r="Q29" s="17">
        <f>ServicoFull[[#This Row],[Valor Venda c/ Comissões (R$)]]/(1-ServicoFull[[#This Row],[Tributos
(%)]])-ServicoFull[[#This Row],[Valor Venda c/ Comissões (R$)]]</f>
        <v>0</v>
      </c>
      <c r="R29" s="18">
        <f>ServicoFull[[#This Row],[Valor Venda c/ Comissões (R$)]]+ServicoFull[[#This Row],[Tributos
(R$)]]</f>
        <v>0</v>
      </c>
    </row>
    <row r="30" spans="1:18" x14ac:dyDescent="0.2">
      <c r="A30" s="1">
        <v>0</v>
      </c>
      <c r="B30" s="1">
        <v>0</v>
      </c>
      <c r="C30" s="1">
        <f>IF(AND(ServicoFull[[#This Row],[Tipo]]&lt;&gt;"Despesas",ServicoFull[[#This Row],[Tipo]]&lt;&gt;"Comercial"),A30*B30,0)</f>
        <v>0</v>
      </c>
      <c r="D30" s="1" t="s">
        <v>23</v>
      </c>
      <c r="E30" s="1" t="s">
        <v>74</v>
      </c>
      <c r="F30" s="132" t="s">
        <v>90</v>
      </c>
      <c r="G30" s="33" t="s">
        <v>161</v>
      </c>
      <c r="H30" s="5">
        <f>IF(ServicoFull[[#This Row],[Grau de 
Complexidade]]=$L$43,H73,IF(ServicoFull[[#This Row],[Grau de 
Complexidade]]=$L$44,I73,IF(ServicoFull[[#This Row],[Grau de 
Complexidade]]=$L$45,J73,"Inserir Grau de Complexidade")))</f>
        <v>0</v>
      </c>
      <c r="I30" s="17">
        <f>ServicoFull[[#This Row],[Qtde.
Recursos]]*ServicoFull[[#This Row],[Qtde.
Utilizado]]*ServicoFull[[#This Row],[Custo Unitário
Sem Tributos  (R$)]]</f>
        <v>0</v>
      </c>
      <c r="J30" s="18">
        <v>0</v>
      </c>
      <c r="K30" s="18">
        <f>ServicoFull[[#This Row],[Qtde.
Recursos]]*ServicoFull[[#This Row],[Qtde.
Utilizado]]*ServicoFull[[#This Row],[Custo Interno (R$)]]</f>
        <v>0</v>
      </c>
      <c r="L30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30" s="18">
        <f>ServicoFull[[#This Row],[Valor Total 
Sem Tributos (R$)]]/(1-('Valores Finais'!$C$11))</f>
        <v>0</v>
      </c>
      <c r="N30" s="18">
        <f>ServicoFull[[#This Row],[Valor Venda c/ Potencial Desconto  em Serviço (R$)]]/(1-('Valores Finais'!$C$6))</f>
        <v>0</v>
      </c>
      <c r="O30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30" s="41">
        <f>'Valores Finais'!$B$11</f>
        <v>0.16</v>
      </c>
      <c r="Q30" s="17">
        <f>ServicoFull[[#This Row],[Valor Venda c/ Comissões (R$)]]/(1-ServicoFull[[#This Row],[Tributos
(%)]])-ServicoFull[[#This Row],[Valor Venda c/ Comissões (R$)]]</f>
        <v>0</v>
      </c>
      <c r="R30" s="18">
        <f>ServicoFull[[#This Row],[Valor Venda c/ Comissões (R$)]]+ServicoFull[[#This Row],[Tributos
(R$)]]</f>
        <v>0</v>
      </c>
    </row>
    <row r="31" spans="1:18" x14ac:dyDescent="0.2">
      <c r="A31" s="1">
        <v>0</v>
      </c>
      <c r="B31" s="1">
        <v>0</v>
      </c>
      <c r="C31" s="1">
        <f>IF(AND(ServicoFull[[#This Row],[Tipo]]&lt;&gt;"Despesas",ServicoFull[[#This Row],[Tipo]]&lt;&gt;"Comercial"),A31*B31,0)</f>
        <v>0</v>
      </c>
      <c r="D31" s="1" t="s">
        <v>23</v>
      </c>
      <c r="E31" s="1" t="s">
        <v>74</v>
      </c>
      <c r="F31" s="132" t="s">
        <v>77</v>
      </c>
      <c r="G31" s="33" t="s">
        <v>161</v>
      </c>
      <c r="H31" s="5">
        <f>IF(ServicoFull[[#This Row],[Grau de 
Complexidade]]=$L$43,H74,IF(ServicoFull[[#This Row],[Grau de 
Complexidade]]=$L$44,I74,IF(ServicoFull[[#This Row],[Grau de 
Complexidade]]=$L$45,J74,"Inserir Grau de Complexidade")))</f>
        <v>0</v>
      </c>
      <c r="I31" s="17">
        <f>ServicoFull[[#This Row],[Qtde.
Recursos]]*ServicoFull[[#This Row],[Qtde.
Utilizado]]*ServicoFull[[#This Row],[Custo Unitário
Sem Tributos  (R$)]]</f>
        <v>0</v>
      </c>
      <c r="J31" s="18">
        <v>0</v>
      </c>
      <c r="K31" s="18">
        <f>ServicoFull[[#This Row],[Qtde.
Recursos]]*ServicoFull[[#This Row],[Qtde.
Utilizado]]*ServicoFull[[#This Row],[Custo Interno (R$)]]</f>
        <v>0</v>
      </c>
      <c r="L31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31" s="18">
        <f>ServicoFull[[#This Row],[Valor Total 
Sem Tributos (R$)]]/(1-('Valores Finais'!$C$11))</f>
        <v>0</v>
      </c>
      <c r="N31" s="18">
        <f>ServicoFull[[#This Row],[Valor Venda c/ Potencial Desconto  em Serviço (R$)]]/(1-('Valores Finais'!$C$6))</f>
        <v>0</v>
      </c>
      <c r="O31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31" s="41">
        <f>'Valores Finais'!$B$11</f>
        <v>0.16</v>
      </c>
      <c r="Q31" s="17">
        <f>ServicoFull[[#This Row],[Valor Venda c/ Comissões (R$)]]/(1-ServicoFull[[#This Row],[Tributos
(%)]])-ServicoFull[[#This Row],[Valor Venda c/ Comissões (R$)]]</f>
        <v>0</v>
      </c>
      <c r="R31" s="18">
        <f>ServicoFull[[#This Row],[Valor Venda c/ Comissões (R$)]]+ServicoFull[[#This Row],[Tributos
(R$)]]</f>
        <v>0</v>
      </c>
    </row>
    <row r="32" spans="1:18" x14ac:dyDescent="0.2">
      <c r="A32" s="1">
        <v>0</v>
      </c>
      <c r="B32" s="1">
        <v>0</v>
      </c>
      <c r="C32" s="1">
        <f>IF(AND(ServicoFull[[#This Row],[Tipo]]&lt;&gt;"Despesas",ServicoFull[[#This Row],[Tipo]]&lt;&gt;"Comercial"),A32*B32,0)</f>
        <v>0</v>
      </c>
      <c r="D32" s="1"/>
      <c r="E32" s="1"/>
      <c r="F32" s="132"/>
      <c r="G32" s="33" t="s">
        <v>161</v>
      </c>
      <c r="H32" s="5">
        <f>IF(ServicoFull[[#This Row],[Grau de 
Complexidade]]=$L$43,H75,IF(ServicoFull[[#This Row],[Grau de 
Complexidade]]=$L$44,I75,IF(ServicoFull[[#This Row],[Grau de 
Complexidade]]=$L$45,J75,"Inserir Grau de Complexidade")))</f>
        <v>0</v>
      </c>
      <c r="I32" s="17">
        <f>ServicoFull[[#This Row],[Qtde.
Recursos]]*ServicoFull[[#This Row],[Qtde.
Utilizado]]*ServicoFull[[#This Row],[Custo Unitário
Sem Tributos  (R$)]]</f>
        <v>0</v>
      </c>
      <c r="J32" s="18">
        <v>0</v>
      </c>
      <c r="K32" s="18">
        <f>ServicoFull[[#This Row],[Qtde.
Recursos]]*ServicoFull[[#This Row],[Qtde.
Utilizado]]*ServicoFull[[#This Row],[Custo Interno (R$)]]</f>
        <v>0</v>
      </c>
      <c r="L32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32" s="18">
        <f>ServicoFull[[#This Row],[Valor Total 
Sem Tributos (R$)]]/(1-('Valores Finais'!$C$11))</f>
        <v>0</v>
      </c>
      <c r="N32" s="18">
        <f>ServicoFull[[#This Row],[Valor Venda c/ Potencial Desconto  em Serviço (R$)]]/(1-('Valores Finais'!$C$6))</f>
        <v>0</v>
      </c>
      <c r="O32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32" s="41">
        <f>'Valores Finais'!$B$11</f>
        <v>0.16</v>
      </c>
      <c r="Q32" s="17">
        <f>ServicoFull[[#This Row],[Valor Venda c/ Comissões (R$)]]/(1-ServicoFull[[#This Row],[Tributos
(%)]])-ServicoFull[[#This Row],[Valor Venda c/ Comissões (R$)]]</f>
        <v>0</v>
      </c>
      <c r="R32" s="18">
        <f>ServicoFull[[#This Row],[Valor Venda c/ Comissões (R$)]]+ServicoFull[[#This Row],[Tributos
(R$)]]</f>
        <v>0</v>
      </c>
    </row>
    <row r="33" spans="1:19" x14ac:dyDescent="0.2">
      <c r="A33" s="1">
        <v>0</v>
      </c>
      <c r="B33" s="1">
        <v>0</v>
      </c>
      <c r="C33" s="1">
        <f>IF(AND(ServicoFull[[#This Row],[Tipo]]&lt;&gt;"Despesas",ServicoFull[[#This Row],[Tipo]]&lt;&gt;"Comercial"),A33*B33,0)</f>
        <v>0</v>
      </c>
      <c r="D33" s="1"/>
      <c r="E33" s="1"/>
      <c r="F33" s="132"/>
      <c r="G33" s="33" t="s">
        <v>161</v>
      </c>
      <c r="H33" s="5">
        <f>IF(ServicoFull[[#This Row],[Grau de 
Complexidade]]=$L$43,H76,IF(ServicoFull[[#This Row],[Grau de 
Complexidade]]=$L$44,I76,IF(ServicoFull[[#This Row],[Grau de 
Complexidade]]=$L$45,J76,"Inserir Grau de Complexidade")))</f>
        <v>0</v>
      </c>
      <c r="I33" s="17">
        <f>ServicoFull[[#This Row],[Qtde.
Recursos]]*ServicoFull[[#This Row],[Qtde.
Utilizado]]*ServicoFull[[#This Row],[Custo Unitário
Sem Tributos  (R$)]]</f>
        <v>0</v>
      </c>
      <c r="J33" s="18">
        <v>0</v>
      </c>
      <c r="K33" s="18">
        <f>ServicoFull[[#This Row],[Qtde.
Recursos]]*ServicoFull[[#This Row],[Qtde.
Utilizado]]*ServicoFull[[#This Row],[Custo Interno (R$)]]</f>
        <v>0</v>
      </c>
      <c r="L33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33" s="18">
        <f>ServicoFull[[#This Row],[Valor Total 
Sem Tributos (R$)]]/(1-('Valores Finais'!$C$11))</f>
        <v>0</v>
      </c>
      <c r="N33" s="18">
        <f>ServicoFull[[#This Row],[Valor Venda c/ Potencial Desconto  em Serviço (R$)]]/(1-('Valores Finais'!$C$6))</f>
        <v>0</v>
      </c>
      <c r="O33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33" s="41">
        <f>'Valores Finais'!$B$11</f>
        <v>0.16</v>
      </c>
      <c r="Q33" s="17">
        <f>ServicoFull[[#This Row],[Valor Venda c/ Comissões (R$)]]/(1-ServicoFull[[#This Row],[Tributos
(%)]])-ServicoFull[[#This Row],[Valor Venda c/ Comissões (R$)]]</f>
        <v>0</v>
      </c>
      <c r="R33" s="18">
        <f>ServicoFull[[#This Row],[Valor Venda c/ Comissões (R$)]]+ServicoFull[[#This Row],[Tributos
(R$)]]</f>
        <v>0</v>
      </c>
    </row>
    <row r="34" spans="1:19" x14ac:dyDescent="0.2">
      <c r="A34" s="1">
        <v>0</v>
      </c>
      <c r="B34" s="1">
        <v>0</v>
      </c>
      <c r="C34" s="1">
        <f>IF(AND(ServicoFull[[#This Row],[Tipo]]&lt;&gt;"Despesas",ServicoFull[[#This Row],[Tipo]]&lt;&gt;"Comercial"),A34*B34,0)</f>
        <v>0</v>
      </c>
      <c r="D34" s="1"/>
      <c r="E34" s="1"/>
      <c r="F34" s="132"/>
      <c r="G34" s="33" t="s">
        <v>161</v>
      </c>
      <c r="H34" s="5">
        <f>IF(ServicoFull[[#This Row],[Grau de 
Complexidade]]=$L$43,H77,IF(ServicoFull[[#This Row],[Grau de 
Complexidade]]=$L$44,I77,IF(ServicoFull[[#This Row],[Grau de 
Complexidade]]=$L$45,J77,"Inserir Grau de Complexidade")))</f>
        <v>0</v>
      </c>
      <c r="I34" s="17">
        <f>ServicoFull[[#This Row],[Qtde.
Recursos]]*ServicoFull[[#This Row],[Qtde.
Utilizado]]*ServicoFull[[#This Row],[Custo Unitário
Sem Tributos  (R$)]]</f>
        <v>0</v>
      </c>
      <c r="J34" s="18">
        <v>0</v>
      </c>
      <c r="K34" s="18">
        <f>ServicoFull[[#This Row],[Qtde.
Recursos]]*ServicoFull[[#This Row],[Qtde.
Utilizado]]*ServicoFull[[#This Row],[Custo Interno (R$)]]</f>
        <v>0</v>
      </c>
      <c r="L34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34" s="18">
        <f>ServicoFull[[#This Row],[Valor Total 
Sem Tributos (R$)]]/(1-('Valores Finais'!$C$11))</f>
        <v>0</v>
      </c>
      <c r="N34" s="18">
        <f>ServicoFull[[#This Row],[Valor Venda c/ Potencial Desconto  em Serviço (R$)]]/(1-('Valores Finais'!$C$6))</f>
        <v>0</v>
      </c>
      <c r="O34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34" s="41">
        <f>'Valores Finais'!$B$11</f>
        <v>0.16</v>
      </c>
      <c r="Q34" s="17">
        <f>ServicoFull[[#This Row],[Valor Venda c/ Comissões (R$)]]/(1-ServicoFull[[#This Row],[Tributos
(%)]])-ServicoFull[[#This Row],[Valor Venda c/ Comissões (R$)]]</f>
        <v>0</v>
      </c>
      <c r="R34" s="18">
        <f>ServicoFull[[#This Row],[Valor Venda c/ Comissões (R$)]]+ServicoFull[[#This Row],[Tributos
(R$)]]</f>
        <v>0</v>
      </c>
    </row>
    <row r="35" spans="1:19" x14ac:dyDescent="0.2">
      <c r="A35" s="1">
        <v>0</v>
      </c>
      <c r="B35" s="1">
        <v>0</v>
      </c>
      <c r="C35" s="1">
        <f>IF(AND(ServicoFull[[#This Row],[Tipo]]&lt;&gt;"Despesas",ServicoFull[[#This Row],[Tipo]]&lt;&gt;"Comercial"),A35*B35,0)</f>
        <v>0</v>
      </c>
      <c r="D35" s="1"/>
      <c r="E35" s="1"/>
      <c r="F35" s="132"/>
      <c r="G35" s="33" t="s">
        <v>161</v>
      </c>
      <c r="H35" s="5">
        <f>IF(ServicoFull[[#This Row],[Grau de 
Complexidade]]=$L$43,H78,IF(ServicoFull[[#This Row],[Grau de 
Complexidade]]=$L$44,I78,IF(ServicoFull[[#This Row],[Grau de 
Complexidade]]=$L$45,J78,"Inserir Grau de Complexidade")))</f>
        <v>0</v>
      </c>
      <c r="I35" s="17">
        <f>ServicoFull[[#This Row],[Qtde.
Recursos]]*ServicoFull[[#This Row],[Qtde.
Utilizado]]*ServicoFull[[#This Row],[Custo Unitário
Sem Tributos  (R$)]]</f>
        <v>0</v>
      </c>
      <c r="J35" s="18">
        <v>0</v>
      </c>
      <c r="K35" s="18">
        <f>ServicoFull[[#This Row],[Qtde.
Recursos]]*ServicoFull[[#This Row],[Qtde.
Utilizado]]*ServicoFull[[#This Row],[Custo Interno (R$)]]</f>
        <v>0</v>
      </c>
      <c r="L35" s="18">
        <f>IF(OR(ServicoFull[[#This Row],[Tipo]]="Despesas",ServicoFull[[#This Row],[Tipo]]="Comercial"),0,ServicoFull[[#This Row],[Valor Venda c/ Potencial Desconto  em Serviço (R$)]]-ServicoFull[[#This Row],[Custo Interno Total (R$)]])</f>
        <v>0</v>
      </c>
      <c r="M35" s="18">
        <f>ServicoFull[[#This Row],[Valor Total 
Sem Tributos (R$)]]/(1-('Valores Finais'!$C$11))</f>
        <v>0</v>
      </c>
      <c r="N35" s="18">
        <f>ServicoFull[[#This Row],[Valor Venda c/ Potencial Desconto  em Serviço (R$)]]/(1-('Valores Finais'!$C$6))</f>
        <v>0</v>
      </c>
      <c r="O35" s="20">
        <f>IF(ServicoFull[[#This Row],[Qtde.
Recursos]]&gt;0, IF(ServicoFull[[#This Row],[Custo Unitário
Sem Tributos  (R$)]] &lt;&gt; 0, ServicoFull[[#This Row],[Lucratividade (R$)]]/ServicoFull[[#This Row],[Valor Total 
Sem Tributos (R$)]],0),0)</f>
        <v>0</v>
      </c>
      <c r="P35" s="41">
        <f>'Valores Finais'!$B$11</f>
        <v>0.16</v>
      </c>
      <c r="Q35" s="17">
        <f>ServicoFull[[#This Row],[Valor Venda c/ Comissões (R$)]]/(1-ServicoFull[[#This Row],[Tributos
(%)]])-ServicoFull[[#This Row],[Valor Venda c/ Comissões (R$)]]</f>
        <v>0</v>
      </c>
      <c r="R35" s="18">
        <f>ServicoFull[[#This Row],[Valor Venda c/ Comissões (R$)]]+ServicoFull[[#This Row],[Tributos
(R$)]]</f>
        <v>0</v>
      </c>
    </row>
    <row r="36" spans="1:19" s="36" customFormat="1" x14ac:dyDescent="0.2">
      <c r="A36" s="1"/>
      <c r="B36" s="1" t="s">
        <v>176</v>
      </c>
      <c r="C36" s="1">
        <f>SUBTOTAL(109,ServicoFull[Qtde.
Total])</f>
        <v>0</v>
      </c>
      <c r="D36" s="1"/>
      <c r="E36" s="1"/>
      <c r="F36" s="33"/>
      <c r="G36" s="33"/>
      <c r="H36" s="9"/>
      <c r="I36" s="13">
        <f>SUBTOTAL(109,ServicoFull[Valor Total 
Sem Tributos (R$)])</f>
        <v>0</v>
      </c>
      <c r="J36" s="13"/>
      <c r="K36" s="13">
        <f>SUBTOTAL(109,ServicoFull[Custo Interno Total (R$)])</f>
        <v>0</v>
      </c>
      <c r="L36" s="9">
        <f>SUBTOTAL(109,ServicoFull[Lucratividade (R$)])</f>
        <v>0</v>
      </c>
      <c r="M36" s="9">
        <f>SUBTOTAL(109,ServicoFull[Valor Venda c/ Potencial Desconto  em Serviço (R$)])</f>
        <v>0</v>
      </c>
      <c r="N36" s="9">
        <f>SUBTOTAL(109,ServicoFull[Valor Venda c/ Comissões (R$)])</f>
        <v>0</v>
      </c>
      <c r="O36" s="21"/>
      <c r="P36" s="35"/>
      <c r="Q36" s="13">
        <f>SUBTOTAL(109,ServicoFull[Tributos
(R$)])</f>
        <v>0</v>
      </c>
      <c r="R36" s="13">
        <f>SUBTOTAL(109,ServicoFull[Valor Venda
Com Tributos (R$)])</f>
        <v>0</v>
      </c>
      <c r="S36" s="1"/>
    </row>
    <row r="37" spans="1:19" x14ac:dyDescent="0.2">
      <c r="A37" s="1"/>
      <c r="B37" s="1">
        <v>8</v>
      </c>
      <c r="C37" s="1">
        <f>ServicoFull[[#Totals],[Qtde.
Total]]/B37</f>
        <v>0</v>
      </c>
      <c r="D37" s="1" t="s">
        <v>175</v>
      </c>
      <c r="E37" s="1"/>
      <c r="F37" s="132"/>
      <c r="G37" s="33"/>
      <c r="H37" s="5"/>
      <c r="R37" s="15"/>
    </row>
    <row r="38" spans="1:19" x14ac:dyDescent="0.2">
      <c r="A38" s="1"/>
      <c r="B38" s="1"/>
      <c r="C38" s="1"/>
      <c r="D38" s="1"/>
      <c r="E38" s="1"/>
      <c r="F38" s="132"/>
      <c r="G38" s="168" t="s">
        <v>170</v>
      </c>
      <c r="H38" s="190" t="s">
        <v>171</v>
      </c>
      <c r="I38" s="190"/>
      <c r="J38" s="190"/>
      <c r="K38" s="168" t="s">
        <v>170</v>
      </c>
    </row>
    <row r="39" spans="1:19" x14ac:dyDescent="0.2">
      <c r="A39" s="1"/>
      <c r="B39" s="1"/>
      <c r="C39" s="1"/>
      <c r="D39" s="1"/>
      <c r="E39" s="1"/>
      <c r="F39" s="132"/>
      <c r="G39" s="33"/>
      <c r="H39" s="5"/>
    </row>
    <row r="40" spans="1:19" x14ac:dyDescent="0.2">
      <c r="A40" s="1"/>
      <c r="B40" s="1"/>
      <c r="C40" s="1"/>
      <c r="D40" s="1"/>
      <c r="E40" s="1"/>
      <c r="F40" s="132"/>
      <c r="G40" s="33"/>
      <c r="H40" s="5"/>
      <c r="R40" s="38"/>
    </row>
    <row r="41" spans="1:19" x14ac:dyDescent="0.2">
      <c r="A41" s="1"/>
      <c r="B41" s="1"/>
      <c r="C41" s="1"/>
      <c r="D41" s="1"/>
      <c r="E41" s="1"/>
      <c r="F41" s="189" t="s">
        <v>169</v>
      </c>
      <c r="G41" s="189"/>
      <c r="H41" s="189"/>
      <c r="I41" s="189"/>
      <c r="J41" s="189"/>
      <c r="K41" s="189"/>
      <c r="L41" s="189"/>
    </row>
    <row r="42" spans="1:19" x14ac:dyDescent="0.2">
      <c r="A42" s="39" t="str">
        <f>ServicoFull[[#Headers],[Unidade]]</f>
        <v>Unidade</v>
      </c>
      <c r="B42" s="34" t="s">
        <v>2</v>
      </c>
      <c r="C42" s="1"/>
      <c r="D42" s="1"/>
      <c r="E42" s="1"/>
      <c r="F42" s="164" t="s">
        <v>159</v>
      </c>
      <c r="G42" s="165" t="s">
        <v>165</v>
      </c>
      <c r="H42" s="165" t="s">
        <v>166</v>
      </c>
      <c r="I42" s="165" t="s">
        <v>167</v>
      </c>
      <c r="J42" s="165" t="s">
        <v>168</v>
      </c>
      <c r="K42" s="166" t="s">
        <v>164</v>
      </c>
      <c r="L42" s="167" t="s">
        <v>160</v>
      </c>
      <c r="Q42" s="200" t="s">
        <v>1064</v>
      </c>
    </row>
    <row r="43" spans="1:19" x14ac:dyDescent="0.2">
      <c r="A43" s="39"/>
      <c r="B43" s="34"/>
      <c r="C43" s="1"/>
      <c r="D43" s="1"/>
      <c r="E43" s="1"/>
      <c r="F43" s="156" t="s">
        <v>131</v>
      </c>
      <c r="G43" s="154">
        <v>96</v>
      </c>
      <c r="H43" s="10">
        <f t="shared" ref="H43:H68" si="0">G43*$K$43</f>
        <v>192</v>
      </c>
      <c r="I43" s="10">
        <f>G43*$K$44</f>
        <v>144</v>
      </c>
      <c r="J43" s="15">
        <f>G43*$K$45</f>
        <v>96</v>
      </c>
      <c r="K43" s="155">
        <v>2</v>
      </c>
      <c r="L43" s="157" t="s">
        <v>161</v>
      </c>
    </row>
    <row r="44" spans="1:19" x14ac:dyDescent="0.2">
      <c r="A44" s="39" t="s">
        <v>24</v>
      </c>
      <c r="B44" s="34" t="s">
        <v>78</v>
      </c>
      <c r="C44" s="1"/>
      <c r="D44" s="1"/>
      <c r="E44" s="1"/>
      <c r="F44" s="156" t="s">
        <v>156</v>
      </c>
      <c r="G44" s="154">
        <v>51</v>
      </c>
      <c r="H44" s="10">
        <f t="shared" si="0"/>
        <v>102</v>
      </c>
      <c r="I44" s="10">
        <f t="shared" ref="I44:I68" si="1">G44*$K$44</f>
        <v>76.5</v>
      </c>
      <c r="J44" s="15">
        <f t="shared" ref="J44:J68" si="2">G44*$K$45</f>
        <v>51</v>
      </c>
      <c r="K44" s="155">
        <v>1.5</v>
      </c>
      <c r="L44" s="157" t="s">
        <v>162</v>
      </c>
    </row>
    <row r="45" spans="1:19" x14ac:dyDescent="0.2">
      <c r="A45" s="39" t="s">
        <v>23</v>
      </c>
      <c r="B45" s="34" t="s">
        <v>74</v>
      </c>
      <c r="C45" s="1"/>
      <c r="E45" s="1"/>
      <c r="F45" s="156" t="s">
        <v>132</v>
      </c>
      <c r="G45" s="154">
        <v>96</v>
      </c>
      <c r="H45" s="10">
        <f t="shared" si="0"/>
        <v>192</v>
      </c>
      <c r="I45" s="10">
        <f t="shared" si="1"/>
        <v>144</v>
      </c>
      <c r="J45" s="15">
        <f t="shared" si="2"/>
        <v>96</v>
      </c>
      <c r="K45" s="155">
        <v>1</v>
      </c>
      <c r="L45" s="157" t="s">
        <v>163</v>
      </c>
    </row>
    <row r="46" spans="1:19" x14ac:dyDescent="0.2">
      <c r="A46" s="1"/>
      <c r="B46" s="34" t="s">
        <v>69</v>
      </c>
      <c r="C46" s="1"/>
      <c r="E46" s="1"/>
      <c r="F46" s="156" t="s">
        <v>157</v>
      </c>
      <c r="G46" s="154">
        <v>51</v>
      </c>
      <c r="H46" s="10">
        <f t="shared" si="0"/>
        <v>102</v>
      </c>
      <c r="I46" s="10">
        <f t="shared" si="1"/>
        <v>76.5</v>
      </c>
      <c r="J46" s="15">
        <f t="shared" si="2"/>
        <v>51</v>
      </c>
      <c r="L46" s="158"/>
    </row>
    <row r="47" spans="1:19" x14ac:dyDescent="0.2">
      <c r="A47" s="1"/>
      <c r="B47" s="34" t="s">
        <v>25</v>
      </c>
      <c r="C47" s="1"/>
      <c r="D47" s="1"/>
      <c r="E47" s="1"/>
      <c r="F47" s="156" t="s">
        <v>137</v>
      </c>
      <c r="G47" s="154">
        <v>96</v>
      </c>
      <c r="H47" s="10">
        <f t="shared" si="0"/>
        <v>192</v>
      </c>
      <c r="I47" s="10">
        <f t="shared" si="1"/>
        <v>144</v>
      </c>
      <c r="J47" s="15">
        <f t="shared" si="2"/>
        <v>96</v>
      </c>
      <c r="L47" s="158"/>
    </row>
    <row r="48" spans="1:19" x14ac:dyDescent="0.2">
      <c r="A48" s="1"/>
      <c r="B48" s="34" t="s">
        <v>81</v>
      </c>
      <c r="C48" s="1"/>
      <c r="D48" s="1"/>
      <c r="E48" s="1"/>
      <c r="F48" s="156" t="s">
        <v>138</v>
      </c>
      <c r="G48" s="154">
        <v>51</v>
      </c>
      <c r="H48" s="10">
        <f t="shared" si="0"/>
        <v>102</v>
      </c>
      <c r="I48" s="10">
        <f t="shared" si="1"/>
        <v>76.5</v>
      </c>
      <c r="J48" s="15">
        <f t="shared" si="2"/>
        <v>51</v>
      </c>
      <c r="L48" s="158"/>
    </row>
    <row r="49" spans="1:12" x14ac:dyDescent="0.2">
      <c r="A49" s="1"/>
      <c r="B49" s="34" t="s">
        <v>75</v>
      </c>
      <c r="C49" s="1"/>
      <c r="D49" s="1"/>
      <c r="E49" s="1"/>
      <c r="F49" s="156" t="s">
        <v>139</v>
      </c>
      <c r="G49" s="154">
        <v>96</v>
      </c>
      <c r="H49" s="10">
        <f t="shared" si="0"/>
        <v>192</v>
      </c>
      <c r="I49" s="10">
        <f t="shared" si="1"/>
        <v>144</v>
      </c>
      <c r="J49" s="15">
        <f t="shared" si="2"/>
        <v>96</v>
      </c>
      <c r="L49" s="158"/>
    </row>
    <row r="50" spans="1:12" x14ac:dyDescent="0.2">
      <c r="A50" s="1"/>
      <c r="B50" s="34" t="s">
        <v>58</v>
      </c>
      <c r="C50" s="1"/>
      <c r="D50" s="1"/>
      <c r="E50" s="1"/>
      <c r="F50" s="156" t="s">
        <v>140</v>
      </c>
      <c r="G50" s="154">
        <v>51</v>
      </c>
      <c r="H50" s="10">
        <f t="shared" si="0"/>
        <v>102</v>
      </c>
      <c r="I50" s="10">
        <f t="shared" si="1"/>
        <v>76.5</v>
      </c>
      <c r="J50" s="15">
        <f t="shared" si="2"/>
        <v>51</v>
      </c>
      <c r="L50" s="158"/>
    </row>
    <row r="51" spans="1:12" ht="25.5" x14ac:dyDescent="0.2">
      <c r="A51" s="1"/>
      <c r="B51" s="34" t="s">
        <v>63</v>
      </c>
      <c r="C51" s="1"/>
      <c r="D51" s="1"/>
      <c r="E51" s="1"/>
      <c r="F51" s="156" t="s">
        <v>141</v>
      </c>
      <c r="G51" s="154">
        <v>96</v>
      </c>
      <c r="H51" s="10">
        <f t="shared" si="0"/>
        <v>192</v>
      </c>
      <c r="I51" s="10">
        <f t="shared" si="1"/>
        <v>144</v>
      </c>
      <c r="J51" s="15">
        <f t="shared" si="2"/>
        <v>96</v>
      </c>
      <c r="L51" s="158"/>
    </row>
    <row r="52" spans="1:12" ht="25.5" x14ac:dyDescent="0.2">
      <c r="A52" s="1"/>
      <c r="B52" s="1"/>
      <c r="C52" s="1"/>
      <c r="D52" s="1"/>
      <c r="E52" s="1"/>
      <c r="F52" s="156" t="s">
        <v>142</v>
      </c>
      <c r="G52" s="154">
        <v>51</v>
      </c>
      <c r="H52" s="10">
        <f t="shared" si="0"/>
        <v>102</v>
      </c>
      <c r="I52" s="10">
        <f t="shared" si="1"/>
        <v>76.5</v>
      </c>
      <c r="J52" s="15">
        <f t="shared" si="2"/>
        <v>51</v>
      </c>
      <c r="L52" s="158"/>
    </row>
    <row r="53" spans="1:12" ht="25.5" x14ac:dyDescent="0.2">
      <c r="A53" s="1"/>
      <c r="B53" s="1"/>
      <c r="C53" s="1"/>
      <c r="D53" s="1"/>
      <c r="E53" s="1"/>
      <c r="F53" s="156" t="s">
        <v>143</v>
      </c>
      <c r="G53" s="154">
        <v>96</v>
      </c>
      <c r="H53" s="10">
        <f t="shared" si="0"/>
        <v>192</v>
      </c>
      <c r="I53" s="10">
        <f t="shared" si="1"/>
        <v>144</v>
      </c>
      <c r="J53" s="15">
        <f t="shared" si="2"/>
        <v>96</v>
      </c>
      <c r="L53" s="158"/>
    </row>
    <row r="54" spans="1:12" ht="25.5" x14ac:dyDescent="0.2">
      <c r="A54" s="1"/>
      <c r="B54" s="1"/>
      <c r="C54" s="1"/>
      <c r="D54" s="1"/>
      <c r="E54" s="1"/>
      <c r="F54" s="156" t="s">
        <v>144</v>
      </c>
      <c r="G54" s="154">
        <v>51</v>
      </c>
      <c r="H54" s="10">
        <f t="shared" si="0"/>
        <v>102</v>
      </c>
      <c r="I54" s="10">
        <f t="shared" si="1"/>
        <v>76.5</v>
      </c>
      <c r="J54" s="15">
        <f t="shared" si="2"/>
        <v>51</v>
      </c>
      <c r="L54" s="158"/>
    </row>
    <row r="55" spans="1:12" x14ac:dyDescent="0.2">
      <c r="A55" s="1"/>
      <c r="B55" s="1"/>
      <c r="C55" s="1"/>
      <c r="D55" s="1"/>
      <c r="E55" s="1"/>
      <c r="F55" s="156" t="s">
        <v>125</v>
      </c>
      <c r="G55" s="154">
        <v>96</v>
      </c>
      <c r="H55" s="10">
        <f t="shared" si="0"/>
        <v>192</v>
      </c>
      <c r="I55" s="10">
        <f t="shared" si="1"/>
        <v>144</v>
      </c>
      <c r="J55" s="15">
        <f t="shared" si="2"/>
        <v>96</v>
      </c>
      <c r="L55" s="158"/>
    </row>
    <row r="56" spans="1:12" x14ac:dyDescent="0.2">
      <c r="F56" s="156" t="s">
        <v>124</v>
      </c>
      <c r="G56" s="154">
        <v>51</v>
      </c>
      <c r="H56" s="10">
        <f t="shared" si="0"/>
        <v>102</v>
      </c>
      <c r="I56" s="10">
        <f t="shared" si="1"/>
        <v>76.5</v>
      </c>
      <c r="J56" s="15">
        <f t="shared" si="2"/>
        <v>51</v>
      </c>
      <c r="L56" s="158"/>
    </row>
    <row r="57" spans="1:12" ht="25.5" x14ac:dyDescent="0.2">
      <c r="F57" s="156" t="s">
        <v>174</v>
      </c>
      <c r="G57" s="154">
        <v>96</v>
      </c>
      <c r="H57" s="10">
        <f t="shared" si="0"/>
        <v>192</v>
      </c>
      <c r="I57" s="10">
        <f t="shared" si="1"/>
        <v>144</v>
      </c>
      <c r="J57" s="15">
        <f t="shared" si="2"/>
        <v>96</v>
      </c>
      <c r="L57" s="158"/>
    </row>
    <row r="58" spans="1:12" ht="25.5" x14ac:dyDescent="0.2">
      <c r="F58" s="156" t="s">
        <v>145</v>
      </c>
      <c r="G58" s="154">
        <v>51</v>
      </c>
      <c r="H58" s="10">
        <f t="shared" si="0"/>
        <v>102</v>
      </c>
      <c r="I58" s="10">
        <f t="shared" si="1"/>
        <v>76.5</v>
      </c>
      <c r="J58" s="15">
        <f t="shared" si="2"/>
        <v>51</v>
      </c>
      <c r="L58" s="158"/>
    </row>
    <row r="59" spans="1:12" x14ac:dyDescent="0.2">
      <c r="F59" s="156" t="s">
        <v>146</v>
      </c>
      <c r="G59" s="154">
        <v>96</v>
      </c>
      <c r="H59" s="10">
        <f t="shared" si="0"/>
        <v>192</v>
      </c>
      <c r="I59" s="10">
        <f t="shared" si="1"/>
        <v>144</v>
      </c>
      <c r="J59" s="15">
        <f t="shared" si="2"/>
        <v>96</v>
      </c>
      <c r="L59" s="158"/>
    </row>
    <row r="60" spans="1:12" x14ac:dyDescent="0.2">
      <c r="F60" s="156" t="s">
        <v>147</v>
      </c>
      <c r="G60" s="154">
        <v>51</v>
      </c>
      <c r="H60" s="10">
        <f t="shared" si="0"/>
        <v>102</v>
      </c>
      <c r="I60" s="10">
        <f t="shared" si="1"/>
        <v>76.5</v>
      </c>
      <c r="J60" s="15">
        <f t="shared" si="2"/>
        <v>51</v>
      </c>
      <c r="L60" s="158"/>
    </row>
    <row r="61" spans="1:12" x14ac:dyDescent="0.2">
      <c r="F61" s="156" t="s">
        <v>150</v>
      </c>
      <c r="G61" s="154">
        <v>96</v>
      </c>
      <c r="H61" s="10">
        <f t="shared" si="0"/>
        <v>192</v>
      </c>
      <c r="I61" s="10">
        <f t="shared" si="1"/>
        <v>144</v>
      </c>
      <c r="J61" s="15">
        <f t="shared" si="2"/>
        <v>96</v>
      </c>
      <c r="L61" s="158"/>
    </row>
    <row r="62" spans="1:12" x14ac:dyDescent="0.2">
      <c r="F62" s="156" t="s">
        <v>151</v>
      </c>
      <c r="G62" s="154">
        <v>51</v>
      </c>
      <c r="H62" s="10">
        <f t="shared" si="0"/>
        <v>102</v>
      </c>
      <c r="I62" s="10">
        <f t="shared" si="1"/>
        <v>76.5</v>
      </c>
      <c r="J62" s="15">
        <f t="shared" si="2"/>
        <v>51</v>
      </c>
      <c r="L62" s="158"/>
    </row>
    <row r="63" spans="1:12" ht="25.5" x14ac:dyDescent="0.2">
      <c r="F63" s="156" t="s">
        <v>152</v>
      </c>
      <c r="G63" s="154">
        <v>96</v>
      </c>
      <c r="H63" s="10">
        <f t="shared" si="0"/>
        <v>192</v>
      </c>
      <c r="I63" s="10">
        <f t="shared" si="1"/>
        <v>144</v>
      </c>
      <c r="J63" s="15">
        <f t="shared" si="2"/>
        <v>96</v>
      </c>
      <c r="L63" s="158"/>
    </row>
    <row r="64" spans="1:12" ht="25.5" x14ac:dyDescent="0.2">
      <c r="F64" s="156" t="s">
        <v>148</v>
      </c>
      <c r="G64" s="154">
        <v>96</v>
      </c>
      <c r="H64" s="10">
        <f t="shared" si="0"/>
        <v>192</v>
      </c>
      <c r="I64" s="10">
        <f t="shared" si="1"/>
        <v>144</v>
      </c>
      <c r="J64" s="15">
        <f t="shared" si="2"/>
        <v>96</v>
      </c>
      <c r="L64" s="158"/>
    </row>
    <row r="65" spans="6:12" x14ac:dyDescent="0.2">
      <c r="F65" s="156" t="s">
        <v>149</v>
      </c>
      <c r="G65" s="154">
        <v>96</v>
      </c>
      <c r="H65" s="10">
        <f t="shared" si="0"/>
        <v>192</v>
      </c>
      <c r="I65" s="10">
        <f t="shared" si="1"/>
        <v>144</v>
      </c>
      <c r="J65" s="15">
        <f t="shared" si="2"/>
        <v>96</v>
      </c>
      <c r="L65" s="158"/>
    </row>
    <row r="66" spans="6:12" x14ac:dyDescent="0.2">
      <c r="F66" s="156" t="s">
        <v>153</v>
      </c>
      <c r="G66" s="154">
        <v>96</v>
      </c>
      <c r="H66" s="10">
        <f t="shared" si="0"/>
        <v>192</v>
      </c>
      <c r="I66" s="10">
        <f t="shared" si="1"/>
        <v>144</v>
      </c>
      <c r="J66" s="15">
        <f t="shared" si="2"/>
        <v>96</v>
      </c>
      <c r="L66" s="158"/>
    </row>
    <row r="67" spans="6:12" x14ac:dyDescent="0.2">
      <c r="F67" s="156" t="s">
        <v>154</v>
      </c>
      <c r="G67" s="154">
        <v>96</v>
      </c>
      <c r="H67" s="10">
        <f t="shared" si="0"/>
        <v>192</v>
      </c>
      <c r="I67" s="10">
        <f t="shared" si="1"/>
        <v>144</v>
      </c>
      <c r="J67" s="15">
        <f t="shared" si="2"/>
        <v>96</v>
      </c>
      <c r="L67" s="158"/>
    </row>
    <row r="68" spans="6:12" ht="15.75" thickBot="1" x14ac:dyDescent="0.25">
      <c r="F68" s="159" t="s">
        <v>155</v>
      </c>
      <c r="G68" s="160">
        <v>96</v>
      </c>
      <c r="H68" s="10">
        <f t="shared" si="0"/>
        <v>192</v>
      </c>
      <c r="I68" s="161">
        <f t="shared" si="1"/>
        <v>144</v>
      </c>
      <c r="J68" s="162">
        <f t="shared" si="2"/>
        <v>96</v>
      </c>
      <c r="K68" s="162"/>
      <c r="L68" s="163"/>
    </row>
  </sheetData>
  <dataConsolidate link="1"/>
  <mergeCells count="2">
    <mergeCell ref="F41:L41"/>
    <mergeCell ref="H38:J38"/>
  </mergeCells>
  <dataValidations count="3">
    <dataValidation type="list" allowBlank="1" showInputMessage="1" showErrorMessage="1" sqref="D6:D35" xr:uid="{00000000-0002-0000-0200-000000000000}">
      <formula1>$A$43:$A$45</formula1>
    </dataValidation>
    <dataValidation type="list" allowBlank="1" showInputMessage="1" showErrorMessage="1" sqref="E6:E35" xr:uid="{00000000-0002-0000-0200-000001000000}">
      <formula1>$B$43:$B$51</formula1>
    </dataValidation>
    <dataValidation type="list" allowBlank="1" showInputMessage="1" showErrorMessage="1" sqref="G6:G35" xr:uid="{00000000-0002-0000-0200-000002000000}">
      <formula1>$L$43:$L$45</formula1>
    </dataValidation>
  </dataValidations>
  <pageMargins left="0.25" right="0.25" top="0.75" bottom="0.75" header="0.3" footer="0.3"/>
  <pageSetup paperSize="9" orientation="landscape" horizontalDpi="1200" verticalDpi="1200" r:id="rId1"/>
  <headerFooter>
    <oddHeader>&amp;C&amp;"-,Negrito"&amp;12&amp;F / Planilha: &amp;A&amp;R&amp;"-,Regular"&amp;D | &amp;T Hs</oddHeader>
    <oddFooter>&amp;C&amp;"-,Regular"&amp;Z&amp;F&amp;R&amp;"-,Regular"&amp;P/&amp;N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1" r:id="rId4" name="Option Button 35">
              <controlPr defaultSize="0" autoFill="0" autoLine="0" autoPict="0" macro="[0]!btServicos_VerTodos_Clique">
                <anchor>
                  <from>
                    <xdr:col>0</xdr:col>
                    <xdr:colOff>876300</xdr:colOff>
                    <xdr:row>1</xdr:row>
                    <xdr:rowOff>104775</xdr:rowOff>
                  </from>
                  <to>
                    <xdr:col>2</xdr:col>
                    <xdr:colOff>152400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5" name="Option Button 36">
              <controlPr defaultSize="0" autoFill="0" autoLine="0" autoPict="0" macro="[0]!btServicos_Utilizados_Clique">
                <anchor>
                  <from>
                    <xdr:col>2</xdr:col>
                    <xdr:colOff>276225</xdr:colOff>
                    <xdr:row>1</xdr:row>
                    <xdr:rowOff>104775</xdr:rowOff>
                  </from>
                  <to>
                    <xdr:col>4</xdr:col>
                    <xdr:colOff>38100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6" name="Group Box 37">
              <controlPr defaultSize="0" autoFill="0" autoPict="0">
                <anchor>
                  <from>
                    <xdr:col>0</xdr:col>
                    <xdr:colOff>714375</xdr:colOff>
                    <xdr:row>0</xdr:row>
                    <xdr:rowOff>123825</xdr:rowOff>
                  </from>
                  <to>
                    <xdr:col>4</xdr:col>
                    <xdr:colOff>104775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7" name="Group Box 38">
              <controlPr defaultSize="0" autoFill="0" autoPict="0">
                <anchor>
                  <from>
                    <xdr:col>4</xdr:col>
                    <xdr:colOff>295275</xdr:colOff>
                    <xdr:row>0</xdr:row>
                    <xdr:rowOff>123825</xdr:rowOff>
                  </from>
                  <to>
                    <xdr:col>5</xdr:col>
                    <xdr:colOff>1914525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8" name="Option Button 39">
              <controlPr defaultSize="0" autoFill="0" autoLine="0" autoPict="0" macro="[0]!btServicos_Completo_Clique">
                <anchor>
                  <from>
                    <xdr:col>4</xdr:col>
                    <xdr:colOff>419100</xdr:colOff>
                    <xdr:row>1</xdr:row>
                    <xdr:rowOff>104775</xdr:rowOff>
                  </from>
                  <to>
                    <xdr:col>5</xdr:col>
                    <xdr:colOff>609600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9" name="Option Button 40">
              <controlPr defaultSize="0" autoFill="0" autoLine="0" autoPict="0" macro="[0]!btServicos_Resumo_Clique">
                <anchor>
                  <from>
                    <xdr:col>5</xdr:col>
                    <xdr:colOff>723900</xdr:colOff>
                    <xdr:row>1</xdr:row>
                    <xdr:rowOff>85725</xdr:rowOff>
                  </from>
                  <to>
                    <xdr:col>5</xdr:col>
                    <xdr:colOff>1800225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2:O41"/>
  <sheetViews>
    <sheetView zoomScale="85" zoomScaleNormal="85" zoomScalePageLayoutView="70" workbookViewId="0">
      <selection activeCell="E8" sqref="E8"/>
    </sheetView>
  </sheetViews>
  <sheetFormatPr defaultRowHeight="15" x14ac:dyDescent="0.2"/>
  <cols>
    <col min="1" max="1" width="13.140625" style="36" customWidth="1"/>
    <col min="2" max="2" width="10" style="36" customWidth="1"/>
    <col min="3" max="3" width="11" style="36" customWidth="1"/>
    <col min="4" max="4" width="16.140625" style="130" customWidth="1"/>
    <col min="5" max="5" width="14.7109375" style="10" customWidth="1"/>
    <col min="6" max="6" width="15" style="10" customWidth="1"/>
    <col min="7" max="7" width="11.5703125" style="14" customWidth="1"/>
    <col min="8" max="8" width="16.7109375" style="10" customWidth="1"/>
    <col min="9" max="9" width="14.5703125" style="15" customWidth="1"/>
    <col min="10" max="11" width="16.42578125" style="15" customWidth="1"/>
    <col min="12" max="12" width="12.85546875" style="15" bestFit="1" customWidth="1"/>
    <col min="13" max="13" width="14.28515625" style="15" customWidth="1"/>
    <col min="14" max="14" width="16.85546875" style="11" customWidth="1"/>
    <col min="15" max="15" width="10.7109375" style="1" customWidth="1"/>
    <col min="16" max="16384" width="9.140625" style="11"/>
  </cols>
  <sheetData>
    <row r="2" spans="1:15" ht="18.75" x14ac:dyDescent="0.2">
      <c r="B2" s="6"/>
      <c r="C2" s="6"/>
      <c r="D2" s="6"/>
      <c r="E2" s="6"/>
      <c r="F2" s="6"/>
      <c r="G2" s="6"/>
      <c r="H2" s="6"/>
      <c r="I2" s="6"/>
      <c r="L2" s="6"/>
      <c r="M2" s="6"/>
      <c r="N2" s="6"/>
    </row>
    <row r="3" spans="1:15" ht="18.75" x14ac:dyDescent="0.2">
      <c r="A3" s="6"/>
      <c r="B3" s="6"/>
      <c r="C3" s="6"/>
      <c r="D3" s="6"/>
      <c r="E3" s="6"/>
      <c r="F3" s="6"/>
      <c r="G3" s="6"/>
      <c r="H3" s="6"/>
      <c r="I3" s="6"/>
      <c r="L3" s="6"/>
      <c r="M3" s="6"/>
      <c r="N3" s="6"/>
    </row>
    <row r="5" spans="1:15" s="32" customFormat="1" ht="38.25" x14ac:dyDescent="0.2">
      <c r="A5" s="12" t="s">
        <v>31</v>
      </c>
      <c r="B5" s="12" t="s">
        <v>0</v>
      </c>
      <c r="C5" s="12" t="s">
        <v>22</v>
      </c>
      <c r="D5" s="12" t="s">
        <v>3</v>
      </c>
      <c r="E5" s="16" t="s">
        <v>34</v>
      </c>
      <c r="F5" s="16" t="s">
        <v>36</v>
      </c>
      <c r="G5" s="37" t="s">
        <v>33</v>
      </c>
      <c r="H5" s="16" t="s">
        <v>37</v>
      </c>
      <c r="I5" s="16" t="s">
        <v>26</v>
      </c>
      <c r="J5" s="16" t="s">
        <v>83</v>
      </c>
      <c r="K5" s="16" t="s">
        <v>101</v>
      </c>
      <c r="L5" s="37" t="s">
        <v>30</v>
      </c>
      <c r="M5" s="23" t="s">
        <v>28</v>
      </c>
      <c r="N5" s="16" t="s">
        <v>35</v>
      </c>
      <c r="O5" s="40"/>
    </row>
    <row r="6" spans="1:15" ht="25.5" x14ac:dyDescent="0.2">
      <c r="A6" s="1" t="s">
        <v>133</v>
      </c>
      <c r="B6" s="1">
        <v>0</v>
      </c>
      <c r="C6" s="1" t="s">
        <v>24</v>
      </c>
      <c r="D6" s="132" t="s">
        <v>134</v>
      </c>
      <c r="E6" s="5">
        <v>100</v>
      </c>
      <c r="F6" s="17">
        <f>ServicoTerceiros[[#This Row],[Qtde.]]*ServicoTerceiros[[#This Row],[Custo Unitário
Sem Tributos  (R$)]]</f>
        <v>0</v>
      </c>
      <c r="G6" s="41">
        <v>0.1</v>
      </c>
      <c r="H6" s="17">
        <f>(ServicoTerceiros[[#This Row],[Custo Total
Sem Tributos   (R$)]]/(1-ServicoTerceiros[[#This Row],[Margem
(%)]]))</f>
        <v>0</v>
      </c>
      <c r="I6" s="18">
        <f>ServicoTerceiros[[#This Row],[Valor Venda c/ Potencial Desconto  em Serviço (R$)]]-ServicoTerceiros[[#This Row],[Custo Total
Sem Tributos   (R$)]]</f>
        <v>0</v>
      </c>
      <c r="J6" s="18">
        <f>ServicoTerceiros[[#This Row],[Valor Total
Com Margem
Sem Tributos   (R$)]]/(1-('Valores Finais'!$C$11))</f>
        <v>0</v>
      </c>
      <c r="K6" s="18">
        <f>ServicoTerceiros[[#This Row],[Valor Venda c/ Potencial Desconto  em Serviço (R$)]]*(1+('Valores Finais'!$C$6))</f>
        <v>0</v>
      </c>
      <c r="L6" s="41">
        <f>'Valores Finais'!$B$11</f>
        <v>0.16</v>
      </c>
      <c r="M6" s="17">
        <f>ServicoTerceiros[[#This Row],[Valor Venda c/ Comissões (R$)]]/(1-ServicoTerceiros[[#This Row],[Tributos
(%)]])-ServicoTerceiros[[#This Row],[Valor Venda c/ Comissões (R$)]]</f>
        <v>0</v>
      </c>
      <c r="N6" s="18">
        <f>ServicoTerceiros[[#This Row],[Valor Venda c/ Comissões (R$)]]+ServicoTerceiros[[#This Row],[Tributos
(R$)]]</f>
        <v>0</v>
      </c>
    </row>
    <row r="7" spans="1:15" x14ac:dyDescent="0.2">
      <c r="A7" s="1" t="s">
        <v>133</v>
      </c>
      <c r="B7" s="1">
        <v>0</v>
      </c>
      <c r="C7" s="1" t="s">
        <v>24</v>
      </c>
      <c r="D7" s="132" t="s">
        <v>32</v>
      </c>
      <c r="E7" s="5">
        <v>100</v>
      </c>
      <c r="F7" s="17">
        <f>ServicoTerceiros[[#This Row],[Qtde.]]*ServicoTerceiros[[#This Row],[Custo Unitário
Sem Tributos  (R$)]]</f>
        <v>0</v>
      </c>
      <c r="G7" s="41">
        <v>0.1</v>
      </c>
      <c r="H7" s="17">
        <f>(ServicoTerceiros[[#This Row],[Custo Total
Sem Tributos   (R$)]]/(1-ServicoTerceiros[[#This Row],[Margem
(%)]]))</f>
        <v>0</v>
      </c>
      <c r="I7" s="18">
        <f>ServicoTerceiros[[#This Row],[Valor Venda c/ Potencial Desconto  em Serviço (R$)]]-ServicoTerceiros[[#This Row],[Custo Total
Sem Tributos   (R$)]]</f>
        <v>0</v>
      </c>
      <c r="J7" s="18">
        <f>ServicoTerceiros[[#This Row],[Valor Total
Com Margem
Sem Tributos   (R$)]]/(1-('Valores Finais'!$C$11))</f>
        <v>0</v>
      </c>
      <c r="K7" s="18">
        <f>ServicoTerceiros[[#This Row],[Valor Venda c/ Potencial Desconto  em Serviço (R$)]]*(1+('Valores Finais'!$C$6))</f>
        <v>0</v>
      </c>
      <c r="L7" s="41">
        <f>'Valores Finais'!$B$11</f>
        <v>0.16</v>
      </c>
      <c r="M7" s="17">
        <f>ServicoTerceiros[[#This Row],[Valor Venda c/ Comissões (R$)]]/(1-ServicoTerceiros[[#This Row],[Tributos
(%)]])-ServicoTerceiros[[#This Row],[Valor Venda c/ Comissões (R$)]]</f>
        <v>0</v>
      </c>
      <c r="N7" s="18">
        <f>ServicoTerceiros[[#This Row],[Valor Venda c/ Comissões (R$)]]+ServicoTerceiros[[#This Row],[Tributos
(R$)]]</f>
        <v>0</v>
      </c>
    </row>
    <row r="8" spans="1:15" x14ac:dyDescent="0.2">
      <c r="A8" s="1"/>
      <c r="B8" s="1">
        <v>0</v>
      </c>
      <c r="C8" s="1" t="s">
        <v>23</v>
      </c>
      <c r="D8" s="132"/>
      <c r="E8" s="5">
        <v>0</v>
      </c>
      <c r="F8" s="17">
        <f>ServicoTerceiros[[#This Row],[Qtde.]]*ServicoTerceiros[[#This Row],[Custo Unitário
Sem Tributos  (R$)]]</f>
        <v>0</v>
      </c>
      <c r="G8" s="41">
        <v>0.1</v>
      </c>
      <c r="H8" s="17">
        <f>(ServicoTerceiros[[#This Row],[Custo Total
Sem Tributos   (R$)]]/(1-ServicoTerceiros[[#This Row],[Margem
(%)]]))</f>
        <v>0</v>
      </c>
      <c r="I8" s="18">
        <f>ServicoTerceiros[[#This Row],[Valor Venda c/ Potencial Desconto  em Serviço (R$)]]-ServicoTerceiros[[#This Row],[Custo Total
Sem Tributos   (R$)]]</f>
        <v>0</v>
      </c>
      <c r="J8" s="18">
        <f>ServicoTerceiros[[#This Row],[Valor Total
Com Margem
Sem Tributos   (R$)]]/(1-('Valores Finais'!$C$11))</f>
        <v>0</v>
      </c>
      <c r="K8" s="18">
        <f>ServicoTerceiros[[#This Row],[Valor Venda c/ Potencial Desconto  em Serviço (R$)]]*(1+('Valores Finais'!$C$6))</f>
        <v>0</v>
      </c>
      <c r="L8" s="41">
        <f>'Valores Finais'!$B$11</f>
        <v>0.16</v>
      </c>
      <c r="M8" s="17">
        <f>ServicoTerceiros[[#This Row],[Valor Venda c/ Comissões (R$)]]/(1-ServicoTerceiros[[#This Row],[Tributos
(%)]])-ServicoTerceiros[[#This Row],[Valor Venda c/ Comissões (R$)]]</f>
        <v>0</v>
      </c>
      <c r="N8" s="18">
        <f>ServicoTerceiros[[#This Row],[Valor Venda c/ Comissões (R$)]]+ServicoTerceiros[[#This Row],[Tributos
(R$)]]</f>
        <v>0</v>
      </c>
    </row>
    <row r="9" spans="1:15" x14ac:dyDescent="0.2">
      <c r="A9" s="1"/>
      <c r="B9" s="1">
        <v>0</v>
      </c>
      <c r="C9" s="1" t="s">
        <v>23</v>
      </c>
      <c r="D9" s="132"/>
      <c r="E9" s="5">
        <v>0</v>
      </c>
      <c r="F9" s="17">
        <f>ServicoTerceiros[[#This Row],[Qtde.]]*ServicoTerceiros[[#This Row],[Custo Unitário
Sem Tributos  (R$)]]</f>
        <v>0</v>
      </c>
      <c r="G9" s="41">
        <v>0.1</v>
      </c>
      <c r="H9" s="17">
        <f>(ServicoTerceiros[[#This Row],[Custo Total
Sem Tributos   (R$)]]/(1-ServicoTerceiros[[#This Row],[Margem
(%)]]))</f>
        <v>0</v>
      </c>
      <c r="I9" s="18">
        <f>ServicoTerceiros[[#This Row],[Valor Venda c/ Potencial Desconto  em Serviço (R$)]]-ServicoTerceiros[[#This Row],[Custo Total
Sem Tributos   (R$)]]</f>
        <v>0</v>
      </c>
      <c r="J9" s="18">
        <f>ServicoTerceiros[[#This Row],[Valor Total
Com Margem
Sem Tributos   (R$)]]/(1-('Valores Finais'!$C$11))</f>
        <v>0</v>
      </c>
      <c r="K9" s="18">
        <f>ServicoTerceiros[[#This Row],[Valor Venda c/ Potencial Desconto  em Serviço (R$)]]*(1+('Valores Finais'!$C$6))</f>
        <v>0</v>
      </c>
      <c r="L9" s="41">
        <f>'Valores Finais'!$B$11</f>
        <v>0.16</v>
      </c>
      <c r="M9" s="17">
        <f>ServicoTerceiros[[#This Row],[Valor Venda c/ Comissões (R$)]]/(1-ServicoTerceiros[[#This Row],[Tributos
(%)]])-ServicoTerceiros[[#This Row],[Valor Venda c/ Comissões (R$)]]</f>
        <v>0</v>
      </c>
      <c r="N9" s="18">
        <f>ServicoTerceiros[[#This Row],[Valor Venda c/ Comissões (R$)]]+ServicoTerceiros[[#This Row],[Tributos
(R$)]]</f>
        <v>0</v>
      </c>
    </row>
    <row r="10" spans="1:15" x14ac:dyDescent="0.2">
      <c r="A10" s="1"/>
      <c r="B10" s="1">
        <v>0</v>
      </c>
      <c r="C10" s="1" t="s">
        <v>24</v>
      </c>
      <c r="D10" s="132"/>
      <c r="E10" s="5">
        <v>0</v>
      </c>
      <c r="F10" s="17">
        <f>ServicoTerceiros[[#This Row],[Qtde.]]*ServicoTerceiros[[#This Row],[Custo Unitário
Sem Tributos  (R$)]]</f>
        <v>0</v>
      </c>
      <c r="G10" s="41">
        <v>0.1</v>
      </c>
      <c r="H10" s="17">
        <f>(ServicoTerceiros[[#This Row],[Custo Total
Sem Tributos   (R$)]]/(1-ServicoTerceiros[[#This Row],[Margem
(%)]]))</f>
        <v>0</v>
      </c>
      <c r="I10" s="18">
        <f>ServicoTerceiros[[#This Row],[Valor Venda c/ Potencial Desconto  em Serviço (R$)]]-ServicoTerceiros[[#This Row],[Custo Total
Sem Tributos   (R$)]]</f>
        <v>0</v>
      </c>
      <c r="J10" s="18">
        <f>ServicoTerceiros[[#This Row],[Valor Total
Com Margem
Sem Tributos   (R$)]]/(1-('Valores Finais'!$C$11))</f>
        <v>0</v>
      </c>
      <c r="K10" s="18">
        <f>ServicoTerceiros[[#This Row],[Valor Venda c/ Potencial Desconto  em Serviço (R$)]]*(1+('Valores Finais'!$C$6))</f>
        <v>0</v>
      </c>
      <c r="L10" s="41">
        <f>'Valores Finais'!$B$11</f>
        <v>0.16</v>
      </c>
      <c r="M10" s="17">
        <f>ServicoTerceiros[[#This Row],[Valor Venda c/ Comissões (R$)]]/(1-ServicoTerceiros[[#This Row],[Tributos
(%)]])-ServicoTerceiros[[#This Row],[Valor Venda c/ Comissões (R$)]]</f>
        <v>0</v>
      </c>
      <c r="N10" s="18">
        <f>ServicoTerceiros[[#This Row],[Valor Venda c/ Comissões (R$)]]+ServicoTerceiros[[#This Row],[Tributos
(R$)]]</f>
        <v>0</v>
      </c>
    </row>
    <row r="11" spans="1:15" x14ac:dyDescent="0.2">
      <c r="A11" s="1"/>
      <c r="B11" s="1">
        <v>0</v>
      </c>
      <c r="C11" s="1" t="s">
        <v>24</v>
      </c>
      <c r="D11" s="132"/>
      <c r="E11" s="5">
        <v>0</v>
      </c>
      <c r="F11" s="17">
        <f>ServicoTerceiros[[#This Row],[Qtde.]]*ServicoTerceiros[[#This Row],[Custo Unitário
Sem Tributos  (R$)]]</f>
        <v>0</v>
      </c>
      <c r="G11" s="41">
        <v>0.1</v>
      </c>
      <c r="H11" s="17">
        <f>(ServicoTerceiros[[#This Row],[Custo Total
Sem Tributos   (R$)]]/(1-ServicoTerceiros[[#This Row],[Margem
(%)]]))</f>
        <v>0</v>
      </c>
      <c r="I11" s="18">
        <f>ServicoTerceiros[[#This Row],[Valor Venda c/ Potencial Desconto  em Serviço (R$)]]-ServicoTerceiros[[#This Row],[Custo Total
Sem Tributos   (R$)]]</f>
        <v>0</v>
      </c>
      <c r="J11" s="18">
        <f>ServicoTerceiros[[#This Row],[Valor Total
Com Margem
Sem Tributos   (R$)]]/(1-('Valores Finais'!$C$11))</f>
        <v>0</v>
      </c>
      <c r="K11" s="18">
        <f>ServicoTerceiros[[#This Row],[Valor Venda c/ Potencial Desconto  em Serviço (R$)]]*(1+('Valores Finais'!$C$6))</f>
        <v>0</v>
      </c>
      <c r="L11" s="41">
        <f>'Valores Finais'!$B$11</f>
        <v>0.16</v>
      </c>
      <c r="M11" s="17">
        <f>ServicoTerceiros[[#This Row],[Valor Venda c/ Comissões (R$)]]/(1-ServicoTerceiros[[#This Row],[Tributos
(%)]])-ServicoTerceiros[[#This Row],[Valor Venda c/ Comissões (R$)]]</f>
        <v>0</v>
      </c>
      <c r="N11" s="18">
        <f>ServicoTerceiros[[#This Row],[Valor Venda c/ Comissões (R$)]]+ServicoTerceiros[[#This Row],[Tributos
(R$)]]</f>
        <v>0</v>
      </c>
    </row>
    <row r="12" spans="1:15" x14ac:dyDescent="0.2">
      <c r="A12" s="1"/>
      <c r="B12" s="1">
        <v>0</v>
      </c>
      <c r="C12" s="1" t="s">
        <v>23</v>
      </c>
      <c r="D12" s="132"/>
      <c r="E12" s="5">
        <v>0</v>
      </c>
      <c r="F12" s="17">
        <f>ServicoTerceiros[[#This Row],[Qtde.]]*ServicoTerceiros[[#This Row],[Custo Unitário
Sem Tributos  (R$)]]</f>
        <v>0</v>
      </c>
      <c r="G12" s="41">
        <v>0.1</v>
      </c>
      <c r="H12" s="17">
        <f>(ServicoTerceiros[[#This Row],[Custo Total
Sem Tributos   (R$)]]/(1-ServicoTerceiros[[#This Row],[Margem
(%)]]))</f>
        <v>0</v>
      </c>
      <c r="I12" s="18">
        <f>ServicoTerceiros[[#This Row],[Valor Venda c/ Potencial Desconto  em Serviço (R$)]]-ServicoTerceiros[[#This Row],[Custo Total
Sem Tributos   (R$)]]</f>
        <v>0</v>
      </c>
      <c r="J12" s="18">
        <f>ServicoTerceiros[[#This Row],[Valor Total
Com Margem
Sem Tributos   (R$)]]/(1-('Valores Finais'!$C$11))</f>
        <v>0</v>
      </c>
      <c r="K12" s="18">
        <f>ServicoTerceiros[[#This Row],[Valor Venda c/ Potencial Desconto  em Serviço (R$)]]*(1+('Valores Finais'!$C$6))</f>
        <v>0</v>
      </c>
      <c r="L12" s="41">
        <f>'Valores Finais'!$B$11</f>
        <v>0.16</v>
      </c>
      <c r="M12" s="17">
        <f>ServicoTerceiros[[#This Row],[Valor Venda c/ Comissões (R$)]]/(1-ServicoTerceiros[[#This Row],[Tributos
(%)]])-ServicoTerceiros[[#This Row],[Valor Venda c/ Comissões (R$)]]</f>
        <v>0</v>
      </c>
      <c r="N12" s="18">
        <f>ServicoTerceiros[[#This Row],[Valor Venda c/ Comissões (R$)]]+ServicoTerceiros[[#This Row],[Tributos
(R$)]]</f>
        <v>0</v>
      </c>
    </row>
    <row r="13" spans="1:15" x14ac:dyDescent="0.2">
      <c r="A13" s="1"/>
      <c r="B13" s="1">
        <v>0</v>
      </c>
      <c r="C13" s="1" t="s">
        <v>23</v>
      </c>
      <c r="D13" s="132"/>
      <c r="E13" s="5">
        <v>0</v>
      </c>
      <c r="F13" s="17">
        <f>ServicoTerceiros[[#This Row],[Qtde.]]*ServicoTerceiros[[#This Row],[Custo Unitário
Sem Tributos  (R$)]]</f>
        <v>0</v>
      </c>
      <c r="G13" s="41">
        <v>0.1</v>
      </c>
      <c r="H13" s="17">
        <f>(ServicoTerceiros[[#This Row],[Custo Total
Sem Tributos   (R$)]]/(1-ServicoTerceiros[[#This Row],[Margem
(%)]]))</f>
        <v>0</v>
      </c>
      <c r="I13" s="18">
        <f>ServicoTerceiros[[#This Row],[Valor Venda c/ Potencial Desconto  em Serviço (R$)]]-ServicoTerceiros[[#This Row],[Custo Total
Sem Tributos   (R$)]]</f>
        <v>0</v>
      </c>
      <c r="J13" s="18">
        <f>ServicoTerceiros[[#This Row],[Valor Total
Com Margem
Sem Tributos   (R$)]]/(1-('Valores Finais'!$C$11))</f>
        <v>0</v>
      </c>
      <c r="K13" s="18">
        <f>ServicoTerceiros[[#This Row],[Valor Venda c/ Potencial Desconto  em Serviço (R$)]]*(1+('Valores Finais'!$C$6))</f>
        <v>0</v>
      </c>
      <c r="L13" s="41">
        <f>'Valores Finais'!$B$11</f>
        <v>0.16</v>
      </c>
      <c r="M13" s="17">
        <f>ServicoTerceiros[[#This Row],[Valor Venda c/ Comissões (R$)]]/(1-ServicoTerceiros[[#This Row],[Tributos
(%)]])-ServicoTerceiros[[#This Row],[Valor Venda c/ Comissões (R$)]]</f>
        <v>0</v>
      </c>
      <c r="N13" s="18">
        <f>ServicoTerceiros[[#This Row],[Valor Venda c/ Comissões (R$)]]+ServicoTerceiros[[#This Row],[Tributos
(R$)]]</f>
        <v>0</v>
      </c>
    </row>
    <row r="14" spans="1:15" x14ac:dyDescent="0.2">
      <c r="A14" s="1"/>
      <c r="B14" s="1">
        <v>0</v>
      </c>
      <c r="C14" s="1"/>
      <c r="D14" s="132"/>
      <c r="E14" s="5">
        <v>0</v>
      </c>
      <c r="F14" s="17">
        <f>ServicoTerceiros[[#This Row],[Qtde.]]*ServicoTerceiros[[#This Row],[Custo Unitário
Sem Tributos  (R$)]]</f>
        <v>0</v>
      </c>
      <c r="G14" s="41">
        <v>0.1</v>
      </c>
      <c r="H14" s="17">
        <f>(ServicoTerceiros[[#This Row],[Custo Total
Sem Tributos   (R$)]]/(1-ServicoTerceiros[[#This Row],[Margem
(%)]]))</f>
        <v>0</v>
      </c>
      <c r="I14" s="18">
        <f>ServicoTerceiros[[#This Row],[Valor Venda c/ Potencial Desconto  em Serviço (R$)]]-ServicoTerceiros[[#This Row],[Custo Total
Sem Tributos   (R$)]]</f>
        <v>0</v>
      </c>
      <c r="J14" s="18">
        <f>ServicoTerceiros[[#This Row],[Valor Total
Com Margem
Sem Tributos   (R$)]]/(1-('Valores Finais'!$C$11))</f>
        <v>0</v>
      </c>
      <c r="K14" s="18">
        <f>ServicoTerceiros[[#This Row],[Valor Venda c/ Potencial Desconto  em Serviço (R$)]]*(1+('Valores Finais'!$C$6))</f>
        <v>0</v>
      </c>
      <c r="L14" s="41">
        <f>'Valores Finais'!$B$11</f>
        <v>0.16</v>
      </c>
      <c r="M14" s="17">
        <f>ServicoTerceiros[[#This Row],[Valor Venda c/ Comissões (R$)]]/(1-ServicoTerceiros[[#This Row],[Tributos
(%)]])-ServicoTerceiros[[#This Row],[Valor Venda c/ Comissões (R$)]]</f>
        <v>0</v>
      </c>
      <c r="N14" s="18">
        <f>ServicoTerceiros[[#This Row],[Valor Venda c/ Comissões (R$)]]+ServicoTerceiros[[#This Row],[Tributos
(R$)]]</f>
        <v>0</v>
      </c>
    </row>
    <row r="15" spans="1:15" x14ac:dyDescent="0.2">
      <c r="A15" s="1"/>
      <c r="B15" s="1">
        <v>0</v>
      </c>
      <c r="C15" s="1" t="s">
        <v>23</v>
      </c>
      <c r="D15" s="132"/>
      <c r="E15" s="5">
        <v>0</v>
      </c>
      <c r="F15" s="17">
        <f>ServicoTerceiros[[#This Row],[Qtde.]]*ServicoTerceiros[[#This Row],[Custo Unitário
Sem Tributos  (R$)]]</f>
        <v>0</v>
      </c>
      <c r="G15" s="41">
        <v>0.1</v>
      </c>
      <c r="H15" s="17">
        <f>(ServicoTerceiros[[#This Row],[Custo Total
Sem Tributos   (R$)]]/(1-ServicoTerceiros[[#This Row],[Margem
(%)]]))</f>
        <v>0</v>
      </c>
      <c r="I15" s="18">
        <f>ServicoTerceiros[[#This Row],[Valor Venda c/ Potencial Desconto  em Serviço (R$)]]-ServicoTerceiros[[#This Row],[Custo Total
Sem Tributos   (R$)]]</f>
        <v>0</v>
      </c>
      <c r="J15" s="18">
        <f>ServicoTerceiros[[#This Row],[Valor Total
Com Margem
Sem Tributos   (R$)]]/(1-('Valores Finais'!$C$11))</f>
        <v>0</v>
      </c>
      <c r="K15" s="18">
        <f>ServicoTerceiros[[#This Row],[Valor Venda c/ Potencial Desconto  em Serviço (R$)]]*(1+('Valores Finais'!$C$6))</f>
        <v>0</v>
      </c>
      <c r="L15" s="41">
        <f>'Valores Finais'!$B$11</f>
        <v>0.16</v>
      </c>
      <c r="M15" s="17">
        <f>ServicoTerceiros[[#This Row],[Valor Venda c/ Comissões (R$)]]/(1-ServicoTerceiros[[#This Row],[Tributos
(%)]])-ServicoTerceiros[[#This Row],[Valor Venda c/ Comissões (R$)]]</f>
        <v>0</v>
      </c>
      <c r="N15" s="18">
        <f>ServicoTerceiros[[#This Row],[Valor Venda c/ Comissões (R$)]]+ServicoTerceiros[[#This Row],[Tributos
(R$)]]</f>
        <v>0</v>
      </c>
    </row>
    <row r="16" spans="1:15" x14ac:dyDescent="0.2">
      <c r="A16" s="1"/>
      <c r="B16" s="1">
        <v>0</v>
      </c>
      <c r="C16" s="1" t="s">
        <v>23</v>
      </c>
      <c r="D16" s="132"/>
      <c r="E16" s="5">
        <v>0</v>
      </c>
      <c r="F16" s="17">
        <f>ServicoTerceiros[[#This Row],[Qtde.]]*ServicoTerceiros[[#This Row],[Custo Unitário
Sem Tributos  (R$)]]</f>
        <v>0</v>
      </c>
      <c r="G16" s="41">
        <v>0.1</v>
      </c>
      <c r="H16" s="17">
        <f>(ServicoTerceiros[[#This Row],[Custo Total
Sem Tributos   (R$)]]/(1-ServicoTerceiros[[#This Row],[Margem
(%)]]))</f>
        <v>0</v>
      </c>
      <c r="I16" s="18">
        <f>ServicoTerceiros[[#This Row],[Valor Venda c/ Potencial Desconto  em Serviço (R$)]]-ServicoTerceiros[[#This Row],[Custo Total
Sem Tributos   (R$)]]</f>
        <v>0</v>
      </c>
      <c r="J16" s="18">
        <f>ServicoTerceiros[[#This Row],[Valor Total
Com Margem
Sem Tributos   (R$)]]/(1-('Valores Finais'!$C$11))</f>
        <v>0</v>
      </c>
      <c r="K16" s="18">
        <f>ServicoTerceiros[[#This Row],[Valor Venda c/ Potencial Desconto  em Serviço (R$)]]*(1+('Valores Finais'!$C$6))</f>
        <v>0</v>
      </c>
      <c r="L16" s="41">
        <f>'Valores Finais'!$B$11</f>
        <v>0.16</v>
      </c>
      <c r="M16" s="17">
        <f>ServicoTerceiros[[#This Row],[Valor Venda c/ Comissões (R$)]]/(1-ServicoTerceiros[[#This Row],[Tributos
(%)]])-ServicoTerceiros[[#This Row],[Valor Venda c/ Comissões (R$)]]</f>
        <v>0</v>
      </c>
      <c r="N16" s="18">
        <f>ServicoTerceiros[[#This Row],[Valor Venda c/ Comissões (R$)]]+ServicoTerceiros[[#This Row],[Tributos
(R$)]]</f>
        <v>0</v>
      </c>
    </row>
    <row r="17" spans="1:15" x14ac:dyDescent="0.2">
      <c r="A17" s="1"/>
      <c r="B17" s="1">
        <v>0</v>
      </c>
      <c r="C17" s="1" t="s">
        <v>23</v>
      </c>
      <c r="D17" s="132"/>
      <c r="E17" s="5"/>
      <c r="F17" s="17">
        <f>ServicoTerceiros[[#This Row],[Qtde.]]*ServicoTerceiros[[#This Row],[Custo Unitário
Sem Tributos  (R$)]]</f>
        <v>0</v>
      </c>
      <c r="G17" s="41">
        <v>0.1</v>
      </c>
      <c r="H17" s="17">
        <f>(ServicoTerceiros[[#This Row],[Custo Total
Sem Tributos   (R$)]]/(1-ServicoTerceiros[[#This Row],[Margem
(%)]]))</f>
        <v>0</v>
      </c>
      <c r="I17" s="18">
        <f>ServicoTerceiros[[#This Row],[Valor Venda c/ Potencial Desconto  em Serviço (R$)]]-ServicoTerceiros[[#This Row],[Custo Total
Sem Tributos   (R$)]]</f>
        <v>0</v>
      </c>
      <c r="J17" s="18">
        <f>ServicoTerceiros[[#This Row],[Valor Total
Com Margem
Sem Tributos   (R$)]]/(1-('Valores Finais'!$C$11))</f>
        <v>0</v>
      </c>
      <c r="K17" s="18">
        <f>ServicoTerceiros[[#This Row],[Valor Venda c/ Potencial Desconto  em Serviço (R$)]]*(1+('Valores Finais'!$C$6))</f>
        <v>0</v>
      </c>
      <c r="L17" s="41">
        <f>'Valores Finais'!$B$11</f>
        <v>0.16</v>
      </c>
      <c r="M17" s="17">
        <f>ServicoTerceiros[[#This Row],[Valor Venda c/ Comissões (R$)]]/(1-ServicoTerceiros[[#This Row],[Tributos
(%)]])-ServicoTerceiros[[#This Row],[Valor Venda c/ Comissões (R$)]]</f>
        <v>0</v>
      </c>
      <c r="N17" s="18">
        <f>ServicoTerceiros[[#This Row],[Valor Venda c/ Comissões (R$)]]+ServicoTerceiros[[#This Row],[Tributos
(R$)]]</f>
        <v>0</v>
      </c>
    </row>
    <row r="18" spans="1:15" x14ac:dyDescent="0.2">
      <c r="A18" s="1"/>
      <c r="B18" s="1">
        <v>0</v>
      </c>
      <c r="C18" s="1"/>
      <c r="D18" s="132"/>
      <c r="E18" s="5">
        <v>0</v>
      </c>
      <c r="F18" s="17">
        <f>ServicoTerceiros[[#This Row],[Qtde.]]*ServicoTerceiros[[#This Row],[Custo Unitário
Sem Tributos  (R$)]]</f>
        <v>0</v>
      </c>
      <c r="G18" s="41">
        <v>0.1</v>
      </c>
      <c r="H18" s="17">
        <f>(ServicoTerceiros[[#This Row],[Custo Total
Sem Tributos   (R$)]]/(1-ServicoTerceiros[[#This Row],[Margem
(%)]]))</f>
        <v>0</v>
      </c>
      <c r="I18" s="18">
        <f>ServicoTerceiros[[#This Row],[Valor Venda c/ Potencial Desconto  em Serviço (R$)]]-ServicoTerceiros[[#This Row],[Custo Total
Sem Tributos   (R$)]]</f>
        <v>0</v>
      </c>
      <c r="J18" s="18">
        <f>ServicoTerceiros[[#This Row],[Valor Total
Com Margem
Sem Tributos   (R$)]]/(1-('Valores Finais'!$C$11))</f>
        <v>0</v>
      </c>
      <c r="K18" s="18">
        <f>ServicoTerceiros[[#This Row],[Valor Venda c/ Potencial Desconto  em Serviço (R$)]]*(1+('Valores Finais'!$C$6))</f>
        <v>0</v>
      </c>
      <c r="L18" s="41">
        <f>'Valores Finais'!$B$11</f>
        <v>0.16</v>
      </c>
      <c r="M18" s="17">
        <f>ServicoTerceiros[[#This Row],[Valor Venda c/ Comissões (R$)]]/(1-ServicoTerceiros[[#This Row],[Tributos
(%)]])-ServicoTerceiros[[#This Row],[Valor Venda c/ Comissões (R$)]]</f>
        <v>0</v>
      </c>
      <c r="N18" s="18">
        <f>ServicoTerceiros[[#This Row],[Valor Venda c/ Comissões (R$)]]+ServicoTerceiros[[#This Row],[Tributos
(R$)]]</f>
        <v>0</v>
      </c>
    </row>
    <row r="19" spans="1:15" x14ac:dyDescent="0.2">
      <c r="A19" s="1"/>
      <c r="B19" s="1">
        <v>0</v>
      </c>
      <c r="C19" s="1"/>
      <c r="D19" s="132"/>
      <c r="E19" s="5">
        <v>0</v>
      </c>
      <c r="F19" s="17">
        <f>ServicoTerceiros[[#This Row],[Qtde.]]*ServicoTerceiros[[#This Row],[Custo Unitário
Sem Tributos  (R$)]]</f>
        <v>0</v>
      </c>
      <c r="G19" s="41">
        <v>0.1</v>
      </c>
      <c r="H19" s="17">
        <f>(ServicoTerceiros[[#This Row],[Custo Total
Sem Tributos   (R$)]]/(1-ServicoTerceiros[[#This Row],[Margem
(%)]]))</f>
        <v>0</v>
      </c>
      <c r="I19" s="18">
        <f>ServicoTerceiros[[#This Row],[Valor Venda c/ Potencial Desconto  em Serviço (R$)]]-ServicoTerceiros[[#This Row],[Custo Total
Sem Tributos   (R$)]]</f>
        <v>0</v>
      </c>
      <c r="J19" s="18">
        <f>ServicoTerceiros[[#This Row],[Valor Total
Com Margem
Sem Tributos   (R$)]]/(1-('Valores Finais'!$C$11))</f>
        <v>0</v>
      </c>
      <c r="K19" s="18">
        <f>ServicoTerceiros[[#This Row],[Valor Venda c/ Potencial Desconto  em Serviço (R$)]]*(1+('Valores Finais'!$C$6))</f>
        <v>0</v>
      </c>
      <c r="L19" s="41">
        <f>'Valores Finais'!$B$11</f>
        <v>0.16</v>
      </c>
      <c r="M19" s="17">
        <f>ServicoTerceiros[[#This Row],[Valor Venda c/ Comissões (R$)]]/(1-ServicoTerceiros[[#This Row],[Tributos
(%)]])-ServicoTerceiros[[#This Row],[Valor Venda c/ Comissões (R$)]]</f>
        <v>0</v>
      </c>
      <c r="N19" s="18">
        <f>ServicoTerceiros[[#This Row],[Valor Venda c/ Comissões (R$)]]+ServicoTerceiros[[#This Row],[Tributos
(R$)]]</f>
        <v>0</v>
      </c>
    </row>
    <row r="20" spans="1:15" x14ac:dyDescent="0.2">
      <c r="A20" s="1"/>
      <c r="B20" s="1">
        <v>0</v>
      </c>
      <c r="C20" s="1"/>
      <c r="D20" s="132"/>
      <c r="E20" s="5">
        <v>0</v>
      </c>
      <c r="F20" s="17">
        <f>ServicoTerceiros[[#This Row],[Qtde.]]*ServicoTerceiros[[#This Row],[Custo Unitário
Sem Tributos  (R$)]]</f>
        <v>0</v>
      </c>
      <c r="G20" s="41">
        <v>0.1</v>
      </c>
      <c r="H20" s="17">
        <f>(ServicoTerceiros[[#This Row],[Custo Total
Sem Tributos   (R$)]]/(1-ServicoTerceiros[[#This Row],[Margem
(%)]]))</f>
        <v>0</v>
      </c>
      <c r="I20" s="18">
        <f>ServicoTerceiros[[#This Row],[Valor Venda c/ Potencial Desconto  em Serviço (R$)]]-ServicoTerceiros[[#This Row],[Custo Total
Sem Tributos   (R$)]]</f>
        <v>0</v>
      </c>
      <c r="J20" s="18">
        <f>ServicoTerceiros[[#This Row],[Valor Total
Com Margem
Sem Tributos   (R$)]]/(1-('Valores Finais'!$C$11))</f>
        <v>0</v>
      </c>
      <c r="K20" s="18">
        <f>ServicoTerceiros[[#This Row],[Valor Venda c/ Potencial Desconto  em Serviço (R$)]]*(1+('Valores Finais'!$C$6))</f>
        <v>0</v>
      </c>
      <c r="L20" s="41">
        <f>'Valores Finais'!$B$11</f>
        <v>0.16</v>
      </c>
      <c r="M20" s="17">
        <f>ServicoTerceiros[[#This Row],[Valor Venda c/ Comissões (R$)]]/(1-ServicoTerceiros[[#This Row],[Tributos
(%)]])-ServicoTerceiros[[#This Row],[Valor Venda c/ Comissões (R$)]]</f>
        <v>0</v>
      </c>
      <c r="N20" s="18">
        <f>ServicoTerceiros[[#This Row],[Valor Venda c/ Comissões (R$)]]+ServicoTerceiros[[#This Row],[Tributos
(R$)]]</f>
        <v>0</v>
      </c>
    </row>
    <row r="21" spans="1:15" x14ac:dyDescent="0.2">
      <c r="A21" s="1"/>
      <c r="B21" s="1">
        <v>0</v>
      </c>
      <c r="C21" s="1"/>
      <c r="D21" s="132"/>
      <c r="E21" s="5">
        <v>0</v>
      </c>
      <c r="F21" s="17">
        <f>ServicoTerceiros[[#This Row],[Qtde.]]*ServicoTerceiros[[#This Row],[Custo Unitário
Sem Tributos  (R$)]]</f>
        <v>0</v>
      </c>
      <c r="G21" s="41">
        <v>0.1</v>
      </c>
      <c r="H21" s="17">
        <f>(ServicoTerceiros[[#This Row],[Custo Total
Sem Tributos   (R$)]]/(1-ServicoTerceiros[[#This Row],[Margem
(%)]]))</f>
        <v>0</v>
      </c>
      <c r="I21" s="18">
        <f>ServicoTerceiros[[#This Row],[Valor Venda c/ Potencial Desconto  em Serviço (R$)]]-ServicoTerceiros[[#This Row],[Custo Total
Sem Tributos   (R$)]]</f>
        <v>0</v>
      </c>
      <c r="J21" s="18">
        <f>ServicoTerceiros[[#This Row],[Valor Total
Com Margem
Sem Tributos   (R$)]]/(1-('Valores Finais'!$C$11))</f>
        <v>0</v>
      </c>
      <c r="K21" s="18">
        <f>ServicoTerceiros[[#This Row],[Valor Venda c/ Potencial Desconto  em Serviço (R$)]]*(1+('Valores Finais'!$C$6))</f>
        <v>0</v>
      </c>
      <c r="L21" s="41">
        <f>'Valores Finais'!$B$11</f>
        <v>0.16</v>
      </c>
      <c r="M21" s="17">
        <f>ServicoTerceiros[[#This Row],[Valor Venda c/ Comissões (R$)]]/(1-ServicoTerceiros[[#This Row],[Tributos
(%)]])-ServicoTerceiros[[#This Row],[Valor Venda c/ Comissões (R$)]]</f>
        <v>0</v>
      </c>
      <c r="N21" s="18">
        <f>ServicoTerceiros[[#This Row],[Valor Venda c/ Comissões (R$)]]+ServicoTerceiros[[#This Row],[Tributos
(R$)]]</f>
        <v>0</v>
      </c>
    </row>
    <row r="22" spans="1:15" x14ac:dyDescent="0.2">
      <c r="A22" s="1"/>
      <c r="B22" s="1">
        <v>0</v>
      </c>
      <c r="C22" s="1"/>
      <c r="D22" s="132"/>
      <c r="E22" s="5">
        <v>0</v>
      </c>
      <c r="F22" s="17">
        <f>ServicoTerceiros[[#This Row],[Qtde.]]*ServicoTerceiros[[#This Row],[Custo Unitário
Sem Tributos  (R$)]]</f>
        <v>0</v>
      </c>
      <c r="G22" s="41">
        <v>0.1</v>
      </c>
      <c r="H22" s="17">
        <f>(ServicoTerceiros[[#This Row],[Custo Total
Sem Tributos   (R$)]]/(1-ServicoTerceiros[[#This Row],[Margem
(%)]]))</f>
        <v>0</v>
      </c>
      <c r="I22" s="18">
        <f>ServicoTerceiros[[#This Row],[Valor Venda c/ Potencial Desconto  em Serviço (R$)]]-ServicoTerceiros[[#This Row],[Custo Total
Sem Tributos   (R$)]]</f>
        <v>0</v>
      </c>
      <c r="J22" s="18">
        <f>ServicoTerceiros[[#This Row],[Valor Total
Com Margem
Sem Tributos   (R$)]]/(1-('Valores Finais'!$C$11))</f>
        <v>0</v>
      </c>
      <c r="K22" s="18">
        <f>ServicoTerceiros[[#This Row],[Valor Venda c/ Potencial Desconto  em Serviço (R$)]]*(1+('Valores Finais'!$C$6))</f>
        <v>0</v>
      </c>
      <c r="L22" s="41">
        <f>'Valores Finais'!$B$11</f>
        <v>0.16</v>
      </c>
      <c r="M22" s="17">
        <f>ServicoTerceiros[[#This Row],[Valor Venda c/ Comissões (R$)]]/(1-ServicoTerceiros[[#This Row],[Tributos
(%)]])-ServicoTerceiros[[#This Row],[Valor Venda c/ Comissões (R$)]]</f>
        <v>0</v>
      </c>
      <c r="N22" s="18">
        <f>ServicoTerceiros[[#This Row],[Valor Venda c/ Comissões (R$)]]+ServicoTerceiros[[#This Row],[Tributos
(R$)]]</f>
        <v>0</v>
      </c>
    </row>
    <row r="23" spans="1:15" s="36" customFormat="1" x14ac:dyDescent="0.2">
      <c r="A23" s="1"/>
      <c r="B23" s="1">
        <f>SUBTOTAL(109,ServicoTerceiros[Qtde.])</f>
        <v>0</v>
      </c>
      <c r="C23" s="1"/>
      <c r="D23" s="33"/>
      <c r="E23" s="9"/>
      <c r="F23" s="174">
        <f>SUBTOTAL(109,ServicoTerceiros[Custo Total
Sem Tributos   (R$)])</f>
        <v>0</v>
      </c>
      <c r="G23" s="35"/>
      <c r="H23" s="13">
        <f>SUBTOTAL(109,ServicoTerceiros[Valor Total
Com Margem
Sem Tributos   (R$)])</f>
        <v>0</v>
      </c>
      <c r="I23" s="175">
        <f>SUBTOTAL(109,ServicoTerceiros[Lucratividade (R$)])</f>
        <v>0</v>
      </c>
      <c r="J23" s="13">
        <f>SUBTOTAL(109,ServicoTerceiros[Valor Venda c/ Potencial Desconto  em Serviço (R$)])</f>
        <v>0</v>
      </c>
      <c r="K23" s="13">
        <f>SUBTOTAL(109,ServicoTerceiros[Valor Venda c/ Comissões (R$)])</f>
        <v>0</v>
      </c>
      <c r="L23" s="35"/>
      <c r="M23" s="13">
        <f>SUBTOTAL(109,ServicoTerceiros[Tributos
(R$)])</f>
        <v>0</v>
      </c>
      <c r="N23" s="174">
        <f>SUBTOTAL(109,ServicoTerceiros[Valor Venda
Com Tributos (R$)])</f>
        <v>0</v>
      </c>
      <c r="O23" s="1"/>
    </row>
    <row r="24" spans="1:15" x14ac:dyDescent="0.2">
      <c r="A24" s="1"/>
      <c r="B24" s="1"/>
      <c r="C24" s="1"/>
      <c r="D24" s="132"/>
      <c r="E24" s="5"/>
    </row>
    <row r="25" spans="1:15" x14ac:dyDescent="0.2">
      <c r="A25" s="1"/>
      <c r="B25" s="1"/>
      <c r="C25" s="1"/>
      <c r="D25" s="132"/>
      <c r="E25" s="5"/>
      <c r="G25" s="86"/>
    </row>
    <row r="26" spans="1:15" x14ac:dyDescent="0.2">
      <c r="A26" s="1"/>
      <c r="B26" s="1"/>
      <c r="C26" s="1"/>
      <c r="D26" s="132"/>
      <c r="E26" s="5"/>
      <c r="J26" s="177"/>
      <c r="M26" s="177"/>
      <c r="N26" s="15"/>
    </row>
    <row r="27" spans="1:15" x14ac:dyDescent="0.2">
      <c r="A27" s="34" t="str">
        <f>ServicoTerceiros[[#Headers],[Unidade]]</f>
        <v>Unidade</v>
      </c>
      <c r="B27" s="1"/>
      <c r="C27" s="1"/>
      <c r="D27" s="132"/>
      <c r="E27" s="5"/>
      <c r="J27" s="177"/>
      <c r="M27" s="177"/>
      <c r="N27" s="38"/>
    </row>
    <row r="28" spans="1:15" x14ac:dyDescent="0.2">
      <c r="A28" s="34"/>
      <c r="B28" s="1"/>
      <c r="C28" s="1"/>
      <c r="D28" s="132"/>
      <c r="E28" s="5"/>
      <c r="J28" s="10"/>
      <c r="K28" s="10"/>
      <c r="L28" s="10"/>
      <c r="M28" s="10"/>
      <c r="N28" s="10"/>
      <c r="O28" s="10"/>
    </row>
    <row r="29" spans="1:15" x14ac:dyDescent="0.2">
      <c r="A29" s="34" t="s">
        <v>24</v>
      </c>
      <c r="B29" s="1"/>
      <c r="C29" s="1"/>
      <c r="D29" s="132"/>
      <c r="E29" s="5"/>
      <c r="J29" s="10"/>
      <c r="K29" s="10"/>
      <c r="L29" s="10"/>
      <c r="M29" s="10"/>
      <c r="N29" s="10"/>
      <c r="O29" s="10"/>
    </row>
    <row r="30" spans="1:15" x14ac:dyDescent="0.2">
      <c r="A30" s="34" t="s">
        <v>23</v>
      </c>
      <c r="B30" s="1"/>
      <c r="C30" s="1"/>
      <c r="D30" s="132"/>
      <c r="E30" s="5"/>
      <c r="J30" s="10"/>
      <c r="K30" s="10"/>
      <c r="L30" s="10"/>
      <c r="M30" s="10"/>
      <c r="N30" s="10"/>
      <c r="O30" s="10"/>
    </row>
    <row r="31" spans="1:15" x14ac:dyDescent="0.2">
      <c r="A31" s="1"/>
      <c r="B31" s="1"/>
      <c r="C31" s="1"/>
      <c r="D31" s="132"/>
      <c r="E31" s="5"/>
      <c r="J31" s="10"/>
      <c r="K31" s="10"/>
      <c r="L31" s="10"/>
      <c r="M31" s="10"/>
      <c r="N31" s="10"/>
      <c r="O31" s="10"/>
    </row>
    <row r="32" spans="1:15" x14ac:dyDescent="0.2">
      <c r="A32" s="1"/>
      <c r="B32" s="1"/>
      <c r="C32" s="1"/>
      <c r="D32" s="132"/>
      <c r="E32" s="5"/>
      <c r="J32" s="10"/>
      <c r="K32" s="10"/>
      <c r="L32" s="10"/>
      <c r="M32" s="10"/>
      <c r="N32" s="10"/>
      <c r="O32" s="10"/>
    </row>
    <row r="33" spans="1:15" x14ac:dyDescent="0.2">
      <c r="A33" s="1"/>
      <c r="B33" s="1"/>
      <c r="C33" s="1"/>
      <c r="D33" s="132"/>
      <c r="E33" s="5"/>
      <c r="J33" s="10"/>
      <c r="K33" s="10"/>
      <c r="L33" s="10"/>
      <c r="M33" s="10"/>
      <c r="N33" s="10"/>
      <c r="O33" s="10"/>
    </row>
    <row r="34" spans="1:15" x14ac:dyDescent="0.2">
      <c r="A34" s="1"/>
      <c r="B34" s="1"/>
      <c r="C34" s="1"/>
      <c r="D34" s="132"/>
      <c r="E34" s="5"/>
      <c r="J34" s="10"/>
      <c r="K34" s="10"/>
      <c r="L34" s="10"/>
      <c r="M34" s="10"/>
      <c r="N34" s="10"/>
      <c r="O34" s="10"/>
    </row>
    <row r="35" spans="1:15" x14ac:dyDescent="0.2">
      <c r="A35" s="1"/>
      <c r="B35" s="1"/>
      <c r="C35" s="1"/>
      <c r="D35" s="132"/>
      <c r="E35" s="5"/>
      <c r="J35" s="10"/>
      <c r="K35" s="10"/>
      <c r="L35" s="10"/>
      <c r="M35" s="10"/>
      <c r="N35" s="10"/>
      <c r="O35" s="10"/>
    </row>
    <row r="36" spans="1:15" x14ac:dyDescent="0.2">
      <c r="A36" s="1"/>
      <c r="B36" s="1"/>
      <c r="C36" s="1"/>
      <c r="D36" s="132"/>
      <c r="E36" s="5"/>
      <c r="J36" s="10"/>
      <c r="K36" s="10"/>
      <c r="L36" s="10"/>
      <c r="M36" s="10"/>
      <c r="N36" s="10"/>
      <c r="O36" s="10"/>
    </row>
    <row r="37" spans="1:15" x14ac:dyDescent="0.2">
      <c r="A37" s="1"/>
      <c r="B37" s="1"/>
      <c r="C37" s="1"/>
      <c r="D37" s="132"/>
      <c r="E37" s="5"/>
      <c r="J37" s="10"/>
      <c r="K37" s="10"/>
      <c r="L37" s="10"/>
      <c r="M37" s="10"/>
      <c r="N37" s="10"/>
      <c r="O37" s="10"/>
    </row>
    <row r="38" spans="1:15" x14ac:dyDescent="0.2">
      <c r="A38" s="1"/>
      <c r="B38" s="1"/>
      <c r="C38" s="1"/>
      <c r="D38" s="132"/>
      <c r="E38" s="5"/>
    </row>
    <row r="39" spans="1:15" x14ac:dyDescent="0.2">
      <c r="A39" s="1"/>
      <c r="B39" s="1"/>
      <c r="C39" s="1"/>
      <c r="D39" s="132"/>
      <c r="E39" s="5"/>
    </row>
    <row r="40" spans="1:15" x14ac:dyDescent="0.2">
      <c r="A40" s="1"/>
      <c r="B40" s="1"/>
      <c r="C40" s="1"/>
      <c r="D40" s="132"/>
      <c r="E40" s="5"/>
    </row>
    <row r="41" spans="1:15" x14ac:dyDescent="0.2">
      <c r="A41" s="1"/>
      <c r="B41" s="1"/>
      <c r="C41" s="1"/>
      <c r="D41" s="132"/>
      <c r="E41" s="5"/>
    </row>
  </sheetData>
  <dataConsolidate link="1"/>
  <dataValidations count="1">
    <dataValidation type="list" allowBlank="1" showInputMessage="1" showErrorMessage="1" sqref="C6:C22" xr:uid="{00000000-0002-0000-0300-000000000000}">
      <formula1>$A$28:$A$30</formula1>
    </dataValidation>
  </dataValidations>
  <pageMargins left="0.25" right="0.25" top="0.75" bottom="0.75" header="0.3" footer="0.3"/>
  <pageSetup paperSize="9" orientation="landscape" horizontalDpi="1200" verticalDpi="1200" r:id="rId1"/>
  <headerFooter>
    <oddHeader>&amp;C&amp;"-,Negrito"&amp;12&amp;F / Planilha: &amp;A&amp;R&amp;"-,Regular"&amp;D | &amp;T Hs</oddHeader>
    <oddFooter>&amp;C&amp;"-,Regular"&amp;Z&amp;F&amp;R&amp;"-,Regular"&amp;P/&amp;N</oddFooter>
  </headerFooter>
  <colBreaks count="1" manualBreakCount="1">
    <brk id="7" max="26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Option Button 4">
              <controlPr defaultSize="0" autoFill="0" autoLine="0" autoPict="0" macro="[0]!btServicosTerceiros_VerTodos_Clique">
                <anchor>
                  <from>
                    <xdr:col>1</xdr:col>
                    <xdr:colOff>66675</xdr:colOff>
                    <xdr:row>1</xdr:row>
                    <xdr:rowOff>76200</xdr:rowOff>
                  </from>
                  <to>
                    <xdr:col>2</xdr:col>
                    <xdr:colOff>476250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Option Button 5">
              <controlPr defaultSize="0" autoFill="0" autoLine="0" autoPict="0" macro="[0]!btServicosTerceiros_Utilizados_Clique">
                <anchor>
                  <from>
                    <xdr:col>2</xdr:col>
                    <xdr:colOff>514350</xdr:colOff>
                    <xdr:row>1</xdr:row>
                    <xdr:rowOff>76200</xdr:rowOff>
                  </from>
                  <to>
                    <xdr:col>3</xdr:col>
                    <xdr:colOff>857250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Group Box 6">
              <controlPr defaultSize="0" autoFill="0" autoPict="0">
                <anchor>
                  <from>
                    <xdr:col>0</xdr:col>
                    <xdr:colOff>809625</xdr:colOff>
                    <xdr:row>0</xdr:row>
                    <xdr:rowOff>123825</xdr:rowOff>
                  </from>
                  <to>
                    <xdr:col>4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Group Box 7">
              <controlPr defaultSize="0" autoFill="0" autoPict="0">
                <anchor>
                  <from>
                    <xdr:col>4</xdr:col>
                    <xdr:colOff>257175</xdr:colOff>
                    <xdr:row>0</xdr:row>
                    <xdr:rowOff>123825</xdr:rowOff>
                  </from>
                  <to>
                    <xdr:col>7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Option Button 8">
              <controlPr defaultSize="0" autoFill="0" autoLine="0" autoPict="0" macro="[0]!btServicosTerceiros_Completo_Clique">
                <anchor>
                  <from>
                    <xdr:col>4</xdr:col>
                    <xdr:colOff>409575</xdr:colOff>
                    <xdr:row>1</xdr:row>
                    <xdr:rowOff>85725</xdr:rowOff>
                  </from>
                  <to>
                    <xdr:col>5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Option Button 9">
              <controlPr defaultSize="0" autoFill="0" autoLine="0" autoPict="0" macro="[0]!btServicosTerceiros_Resumo_Clique">
                <anchor>
                  <from>
                    <xdr:col>5</xdr:col>
                    <xdr:colOff>638175</xdr:colOff>
                    <xdr:row>1</xdr:row>
                    <xdr:rowOff>85725</xdr:rowOff>
                  </from>
                  <to>
                    <xdr:col>6</xdr:col>
                    <xdr:colOff>704850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AE42"/>
  <sheetViews>
    <sheetView zoomScaleSheetLayoutView="85" zoomScalePageLayoutView="85" workbookViewId="0">
      <selection activeCell="E11" sqref="E11"/>
    </sheetView>
  </sheetViews>
  <sheetFormatPr defaultRowHeight="12.75" x14ac:dyDescent="0.2"/>
  <cols>
    <col min="1" max="1" width="19.5703125" style="3" customWidth="1"/>
    <col min="2" max="2" width="21.42578125" style="3" customWidth="1"/>
    <col min="3" max="3" width="23" style="28" customWidth="1"/>
    <col min="4" max="4" width="15.140625" style="28" bestFit="1" customWidth="1"/>
    <col min="5" max="5" width="17" style="42" customWidth="1"/>
    <col min="6" max="6" width="13.7109375" style="28" customWidth="1"/>
    <col min="7" max="7" width="13.140625" style="28" customWidth="1"/>
    <col min="8" max="8" width="23.28515625" style="28" customWidth="1"/>
    <col min="9" max="9" width="20.7109375" style="28" bestFit="1" customWidth="1"/>
    <col min="10" max="10" width="20.85546875" style="66" bestFit="1" customWidth="1"/>
    <col min="11" max="12" width="17.28515625" style="30" bestFit="1" customWidth="1"/>
    <col min="13" max="13" width="20.85546875" style="28" bestFit="1" customWidth="1"/>
    <col min="14" max="14" width="15.28515625" style="30" bestFit="1" customWidth="1"/>
    <col min="15" max="16" width="17.28515625" style="3" bestFit="1" customWidth="1"/>
    <col min="17" max="21" width="9.140625" style="3"/>
    <col min="22" max="31" width="9.140625" style="3" hidden="1" customWidth="1"/>
    <col min="32" max="16384" width="9.140625" style="3"/>
  </cols>
  <sheetData>
    <row r="1" spans="1:16" x14ac:dyDescent="0.2">
      <c r="B1" s="100" t="s">
        <v>120</v>
      </c>
      <c r="C1" s="100" t="s">
        <v>121</v>
      </c>
      <c r="D1" s="108" t="s">
        <v>119</v>
      </c>
      <c r="E1" s="108" t="s">
        <v>118</v>
      </c>
      <c r="F1" s="108" t="s">
        <v>112</v>
      </c>
      <c r="G1" s="108" t="s">
        <v>113</v>
      </c>
      <c r="I1" s="197" t="s">
        <v>114</v>
      </c>
      <c r="J1" s="198"/>
      <c r="K1" s="198"/>
      <c r="L1" s="199"/>
    </row>
    <row r="2" spans="1:16" x14ac:dyDescent="0.2">
      <c r="A2" s="82" t="s">
        <v>104</v>
      </c>
      <c r="B2" s="80">
        <v>0</v>
      </c>
      <c r="C2" s="80">
        <v>0</v>
      </c>
      <c r="D2" s="123">
        <f>IF(B2=0,0,(1*B2/$B$6))</f>
        <v>0</v>
      </c>
      <c r="E2" s="123">
        <f>IF(C2=0,0,(1*C2/$C$6))</f>
        <v>0</v>
      </c>
      <c r="F2" s="98">
        <f>((Materiais[[#Totals],[Valor Venda c/ Comissões (R$)]]-Materiais[[#Totals],[Valor Venda c/ Potencial Desconto  em Material (R$)]])*D2)+(IF(OR($G$17="X",$G$18="X"),((#REF!-#REF!)*D2),0))</f>
        <v>0</v>
      </c>
      <c r="G2" s="98">
        <f>((ServicoFull[[#Totals],[Valor Venda c/ Comissões (R$)]]-ServicoFull[[#Totals],[Valor Venda c/ Potencial Desconto  em Serviço (R$)]])*E2)+((ServicoTerceiros[[#Totals],[Valor Venda c/ Comissões (R$)]]-ServicoTerceiros[[#Totals],[Valor Venda c/ Potencial Desconto  em Serviço (R$)]])*E2)</f>
        <v>0</v>
      </c>
      <c r="I2" s="193" t="s">
        <v>108</v>
      </c>
      <c r="J2" s="194"/>
      <c r="K2" s="195" t="s">
        <v>109</v>
      </c>
      <c r="L2" s="196"/>
    </row>
    <row r="3" spans="1:16" x14ac:dyDescent="0.2">
      <c r="A3" s="82" t="s">
        <v>105</v>
      </c>
      <c r="B3" s="80">
        <v>0</v>
      </c>
      <c r="C3" s="80">
        <v>0</v>
      </c>
      <c r="D3" s="123">
        <f>IF(B3=0,0,(1*B3/$B$6))</f>
        <v>0</v>
      </c>
      <c r="E3" s="123">
        <f>IF(C3=0,0,(1*C3/$C$6))</f>
        <v>0</v>
      </c>
      <c r="F3" s="98">
        <f>((Materiais[[#Totals],[Valor Venda c/ Comissões (R$)]]-Materiais[[#Totals],[Valor Venda c/ Potencial Desconto  em Material (R$)]])*D3)+(IF(OR($G$17="X",$G$18="X"),((#REF!-#REF!)*D3),0))</f>
        <v>0</v>
      </c>
      <c r="G3" s="98">
        <f>((ServicoFull[[#Totals],[Valor Venda c/ Comissões (R$)]]-ServicoFull[[#Totals],[Valor Venda c/ Potencial Desconto  em Serviço (R$)]])*E3)+((ServicoTerceiros[[#Totals],[Valor Venda c/ Comissões (R$)]]-ServicoTerceiros[[#Totals],[Valor Venda c/ Potencial Desconto  em Serviço (R$)]])*E3)</f>
        <v>0</v>
      </c>
      <c r="I3" s="109" t="s">
        <v>115</v>
      </c>
      <c r="J3" s="110">
        <f>Materiais[[#Totals],[Custo Total
Com IPI (R$)]]</f>
        <v>0</v>
      </c>
      <c r="K3" s="112" t="s">
        <v>563</v>
      </c>
      <c r="L3" s="113">
        <f>ServicoFull[[#Totals],[Custo Interno Total (R$)]]</f>
        <v>0</v>
      </c>
    </row>
    <row r="4" spans="1:16" x14ac:dyDescent="0.2">
      <c r="A4" s="82" t="s">
        <v>206</v>
      </c>
      <c r="B4" s="80">
        <v>0</v>
      </c>
      <c r="C4" s="80">
        <v>0</v>
      </c>
      <c r="D4" s="123">
        <f>IF(B4=0,0,(1*B4/$B$6))</f>
        <v>0</v>
      </c>
      <c r="E4" s="123">
        <f>IF(C4=0,0,(1*C4/$C$6))</f>
        <v>0</v>
      </c>
      <c r="F4" s="98">
        <f>((Materiais[[#Totals],[Valor Venda c/ Comissões (R$)]]-Materiais[[#Totals],[Valor Venda c/ Potencial Desconto  em Material (R$)]])*D4)+(IF(OR($G$17="X",$G$18="X"),((#REF!-#REF!)*D4),0))</f>
        <v>0</v>
      </c>
      <c r="G4" s="98">
        <f>((ServicoFull[[#Totals],[Valor Venda c/ Comissões (R$)]]-ServicoFull[[#Totals],[Valor Venda c/ Potencial Desconto  em Serviço (R$)]])*E4)+((ServicoTerceiros[[#Totals],[Valor Venda c/ Comissões (R$)]]-ServicoTerceiros[[#Totals],[Valor Venda c/ Potencial Desconto  em Serviço (R$)]])*E4)</f>
        <v>0</v>
      </c>
      <c r="I4" s="109"/>
      <c r="J4" s="110">
        <v>0</v>
      </c>
      <c r="K4" s="112" t="s">
        <v>116</v>
      </c>
      <c r="L4" s="113">
        <f>ServicoTerceiros[[#Totals],[Custo Total
Sem Tributos   (R$)]]</f>
        <v>0</v>
      </c>
    </row>
    <row r="5" spans="1:16" ht="13.5" thickBot="1" x14ac:dyDescent="0.25">
      <c r="A5" s="106" t="s">
        <v>106</v>
      </c>
      <c r="B5" s="104">
        <v>0</v>
      </c>
      <c r="C5" s="104">
        <v>0</v>
      </c>
      <c r="D5" s="123">
        <f>IF(B5=0,0,(1*B5/$B$6))</f>
        <v>0</v>
      </c>
      <c r="E5" s="124">
        <f>IF(C5=0,0,(1*C5/$C$6))</f>
        <v>0</v>
      </c>
      <c r="F5" s="105">
        <f>((Materiais[[#Totals],[Valor Venda c/ Comissões (R$)]]-Materiais[[#Totals],[Valor Venda c/ Potencial Desconto  em Material (R$)]])*D5)+(IF(OR($G$17="X",$G$18="X"),((#REF!-#REF!)*D5),0))</f>
        <v>0</v>
      </c>
      <c r="G5" s="98">
        <f>((ServicoFull[[#Totals],[Valor Venda c/ Comissões (R$)]]-ServicoFull[[#Totals],[Valor Venda c/ Potencial Desconto  em Serviço (R$)]])*E5)+((ServicoTerceiros[[#Totals],[Valor Venda c/ Comissões (R$)]]-ServicoTerceiros[[#Totals],[Valor Venda c/ Potencial Desconto  em Serviço (R$)]])*E5)</f>
        <v>0</v>
      </c>
      <c r="I5" s="110" t="s">
        <v>110</v>
      </c>
      <c r="J5" s="111">
        <f>D17</f>
        <v>0</v>
      </c>
      <c r="K5" s="113" t="s">
        <v>110</v>
      </c>
      <c r="L5" s="114">
        <f>D24</f>
        <v>0</v>
      </c>
    </row>
    <row r="6" spans="1:16" ht="12.75" customHeight="1" thickTop="1" x14ac:dyDescent="0.2">
      <c r="B6" s="99">
        <f t="shared" ref="B6:G6" si="0">SUM(B2:B5)</f>
        <v>0</v>
      </c>
      <c r="C6" s="99">
        <f t="shared" si="0"/>
        <v>0</v>
      </c>
      <c r="D6" s="99">
        <f t="shared" si="0"/>
        <v>0</v>
      </c>
      <c r="E6" s="99">
        <f t="shared" si="0"/>
        <v>0</v>
      </c>
      <c r="F6" s="28">
        <f t="shared" si="0"/>
        <v>0</v>
      </c>
      <c r="G6" s="28">
        <f t="shared" si="0"/>
        <v>0</v>
      </c>
      <c r="I6" s="109" t="s">
        <v>102</v>
      </c>
      <c r="J6" s="111">
        <f>F6</f>
        <v>0</v>
      </c>
      <c r="K6" s="115" t="s">
        <v>102</v>
      </c>
      <c r="L6" s="114">
        <f>G6</f>
        <v>0</v>
      </c>
      <c r="N6" s="3"/>
    </row>
    <row r="7" spans="1:16" ht="12.75" customHeight="1" x14ac:dyDescent="0.2">
      <c r="B7" s="99"/>
      <c r="D7" s="99"/>
      <c r="E7" s="28"/>
      <c r="F7" s="116" t="s">
        <v>57</v>
      </c>
      <c r="G7" s="117">
        <f>F6+G6</f>
        <v>0</v>
      </c>
      <c r="I7" s="109" t="s">
        <v>111</v>
      </c>
      <c r="J7" s="111">
        <f>SUM(J3:J6)</f>
        <v>0</v>
      </c>
      <c r="K7" s="115" t="s">
        <v>111</v>
      </c>
      <c r="L7" s="114">
        <f>SUM(L3:L6)</f>
        <v>0</v>
      </c>
      <c r="N7" s="3"/>
    </row>
    <row r="8" spans="1:16" ht="12.75" customHeight="1" x14ac:dyDescent="0.2">
      <c r="B8" s="99"/>
      <c r="C8" s="99"/>
      <c r="E8" s="28"/>
      <c r="I8" s="109" t="s">
        <v>42</v>
      </c>
      <c r="J8" s="110">
        <f>J7/(1-B10)</f>
        <v>0</v>
      </c>
      <c r="K8" s="115" t="s">
        <v>42</v>
      </c>
      <c r="L8" s="113">
        <f>L7/(1-B11)</f>
        <v>0</v>
      </c>
      <c r="N8" s="3"/>
    </row>
    <row r="9" spans="1:16" ht="12.75" customHeight="1" x14ac:dyDescent="0.2">
      <c r="B9" s="102" t="s">
        <v>42</v>
      </c>
      <c r="C9" s="107" t="s">
        <v>107</v>
      </c>
      <c r="D9" s="107" t="s">
        <v>103</v>
      </c>
      <c r="E9" s="102" t="s">
        <v>42</v>
      </c>
      <c r="I9" s="66"/>
      <c r="J9" s="118" t="s">
        <v>57</v>
      </c>
      <c r="K9" s="119">
        <f>J8+L8</f>
        <v>0</v>
      </c>
      <c r="L9" s="28"/>
      <c r="N9" s="3"/>
    </row>
    <row r="10" spans="1:16" ht="12.75" customHeight="1" x14ac:dyDescent="0.2">
      <c r="A10" s="103" t="s">
        <v>52</v>
      </c>
      <c r="B10" s="80">
        <v>0.12</v>
      </c>
      <c r="C10" s="80">
        <v>0.1</v>
      </c>
      <c r="D10" s="98">
        <f>(C17-(C17*(1-C10)))</f>
        <v>0</v>
      </c>
      <c r="E10" s="188">
        <v>9.0399999999999994E-2</v>
      </c>
      <c r="I10" s="12"/>
      <c r="N10" s="3"/>
    </row>
    <row r="11" spans="1:16" ht="12.75" customHeight="1" thickBot="1" x14ac:dyDescent="0.25">
      <c r="A11" s="106" t="s">
        <v>61</v>
      </c>
      <c r="B11" s="104">
        <v>0.16</v>
      </c>
      <c r="C11" s="104">
        <v>0.1</v>
      </c>
      <c r="D11" s="105">
        <f>(C24-(C24*(1-C11)))</f>
        <v>0</v>
      </c>
      <c r="E11" s="187">
        <v>0.1338</v>
      </c>
      <c r="I11" s="12"/>
      <c r="N11" s="3"/>
    </row>
    <row r="12" spans="1:16" ht="12.75" customHeight="1" thickTop="1" x14ac:dyDescent="0.2">
      <c r="A12" s="101"/>
      <c r="D12" s="28">
        <f>SUM(D10:D11)</f>
        <v>0</v>
      </c>
      <c r="E12" s="28"/>
      <c r="I12" s="12"/>
      <c r="N12" s="3"/>
    </row>
    <row r="13" spans="1:16" x14ac:dyDescent="0.2">
      <c r="A13" s="101"/>
      <c r="E13" s="28"/>
      <c r="I13" s="12"/>
      <c r="N13" s="3"/>
    </row>
    <row r="14" spans="1:16" ht="12.75" customHeight="1" x14ac:dyDescent="0.2">
      <c r="B14" s="79"/>
      <c r="C14" s="79"/>
      <c r="E14" s="28"/>
      <c r="N14" s="28"/>
    </row>
    <row r="15" spans="1:16" s="12" customFormat="1" x14ac:dyDescent="0.2">
      <c r="A15" s="69" t="s">
        <v>59</v>
      </c>
      <c r="B15" s="125" t="s">
        <v>72</v>
      </c>
      <c r="C15" s="125" t="s">
        <v>73</v>
      </c>
      <c r="D15" s="125" t="s">
        <v>26</v>
      </c>
      <c r="E15" s="126" t="s">
        <v>56</v>
      </c>
      <c r="F15" s="16"/>
      <c r="G15" s="184" t="s">
        <v>201</v>
      </c>
      <c r="H15" s="66"/>
      <c r="I15" s="30"/>
      <c r="J15" s="30"/>
      <c r="K15" s="183" t="s">
        <v>203</v>
      </c>
      <c r="L15" s="28"/>
      <c r="M15" s="28"/>
      <c r="N15" s="8"/>
      <c r="O15" s="8"/>
      <c r="P15" s="8"/>
    </row>
    <row r="16" spans="1:16" ht="12.75" customHeight="1" x14ac:dyDescent="0.2">
      <c r="A16" s="74" t="s">
        <v>52</v>
      </c>
      <c r="B16" s="26">
        <f>Materiais[[#Totals],[Custo Total
Com IPI (R$)]]/(1-B10)</f>
        <v>0</v>
      </c>
      <c r="C16" s="26">
        <f>Materiais[[#Totals],[Valor Venda
Com Tributos (R$)]]</f>
        <v>0</v>
      </c>
      <c r="D16" s="26">
        <f>Materiais[[#Totals],[Lucratividade
(R$)]]</f>
        <v>0</v>
      </c>
      <c r="E16" s="27">
        <f>IF(C16&lt;&gt;0,D16/(C16*(1-$B$10)),0)</f>
        <v>0</v>
      </c>
      <c r="G16" s="191" t="s">
        <v>66</v>
      </c>
      <c r="H16" s="192"/>
      <c r="I16" s="24" t="s">
        <v>64</v>
      </c>
      <c r="J16" s="24" t="s">
        <v>67</v>
      </c>
      <c r="K16" s="24" t="s">
        <v>67</v>
      </c>
      <c r="L16" s="28"/>
      <c r="N16" s="78"/>
      <c r="O16" s="79"/>
      <c r="P16" s="85"/>
    </row>
    <row r="17" spans="1:12" x14ac:dyDescent="0.2">
      <c r="A17" s="83" t="s">
        <v>54</v>
      </c>
      <c r="B17" s="26">
        <f>SUM(B16:B16)</f>
        <v>0</v>
      </c>
      <c r="C17" s="176">
        <f>SUM(C16:C16)</f>
        <v>0</v>
      </c>
      <c r="D17" s="26">
        <f>SUM(D16:D16)</f>
        <v>0</v>
      </c>
      <c r="E17" s="27">
        <f>IF(C17&lt;&gt;0,D17/(C17*(1-$B$10)),0)</f>
        <v>0</v>
      </c>
      <c r="G17" s="73">
        <v>1</v>
      </c>
      <c r="H17" s="74" t="s">
        <v>126</v>
      </c>
      <c r="I17" s="67">
        <v>0.4</v>
      </c>
      <c r="J17" s="26">
        <f>$C$29*I17</f>
        <v>0</v>
      </c>
      <c r="K17" s="26">
        <f>ROUNDUP(J17,-2)</f>
        <v>0</v>
      </c>
      <c r="L17" s="28"/>
    </row>
    <row r="18" spans="1:12" x14ac:dyDescent="0.2">
      <c r="A18" s="121"/>
      <c r="B18" s="28"/>
      <c r="G18" s="73">
        <v>2</v>
      </c>
      <c r="H18" s="74" t="s">
        <v>127</v>
      </c>
      <c r="I18" s="67">
        <v>0.35</v>
      </c>
      <c r="J18" s="26">
        <f>$C$29*I18</f>
        <v>0</v>
      </c>
      <c r="K18" s="26">
        <f>ROUNDUP(J18,-2)</f>
        <v>0</v>
      </c>
      <c r="L18" s="28"/>
    </row>
    <row r="19" spans="1:12" ht="14.25" customHeight="1" x14ac:dyDescent="0.2">
      <c r="G19" s="73">
        <v>3</v>
      </c>
      <c r="H19" s="74" t="s">
        <v>65</v>
      </c>
      <c r="I19" s="67">
        <v>0.25</v>
      </c>
      <c r="J19" s="26">
        <f>$C$29*I19</f>
        <v>0</v>
      </c>
      <c r="K19" s="26">
        <f>ROUNDUP(J19,-2)</f>
        <v>0</v>
      </c>
      <c r="L19" s="28"/>
    </row>
    <row r="20" spans="1:12" x14ac:dyDescent="0.2">
      <c r="G20" s="73">
        <v>4</v>
      </c>
      <c r="H20" s="74" t="s">
        <v>565</v>
      </c>
      <c r="I20" s="67">
        <v>0</v>
      </c>
      <c r="J20" s="26">
        <f>$C$29*I20</f>
        <v>0</v>
      </c>
      <c r="K20" s="26">
        <f>ROUNDUP(J20,-2)</f>
        <v>0</v>
      </c>
      <c r="L20" s="28"/>
    </row>
    <row r="21" spans="1:12" x14ac:dyDescent="0.2">
      <c r="A21" s="31" t="s">
        <v>60</v>
      </c>
      <c r="B21" s="125" t="s">
        <v>72</v>
      </c>
      <c r="C21" s="125" t="s">
        <v>73</v>
      </c>
      <c r="D21" s="125" t="s">
        <v>26</v>
      </c>
      <c r="E21" s="126" t="s">
        <v>56</v>
      </c>
      <c r="G21" s="73">
        <v>5</v>
      </c>
      <c r="H21" s="74" t="s">
        <v>128</v>
      </c>
      <c r="I21" s="67">
        <v>0</v>
      </c>
      <c r="J21" s="26">
        <f>$C$33*I21</f>
        <v>0</v>
      </c>
      <c r="K21" s="26">
        <f>ROUNDUP(J21,-2)</f>
        <v>0</v>
      </c>
      <c r="L21" s="28"/>
    </row>
    <row r="22" spans="1:12" x14ac:dyDescent="0.2">
      <c r="A22" s="74" t="s">
        <v>564</v>
      </c>
      <c r="B22" s="26">
        <f>ServicoFull[[#Totals],[Custo Interno Total (R$)]]/(1-B11)</f>
        <v>0</v>
      </c>
      <c r="C22" s="26">
        <f>ServicoFull[[#Totals],[Valor Venda
Com Tributos (R$)]]</f>
        <v>0</v>
      </c>
      <c r="D22" s="26">
        <f>ServicoFull[[#Totals],[Lucratividade (R$)]]</f>
        <v>0</v>
      </c>
      <c r="E22" s="27">
        <f>IF(C22&lt;&gt;0,D22/(C22*(1-$B$11)),0)</f>
        <v>0</v>
      </c>
      <c r="G22" s="66"/>
      <c r="H22" s="71"/>
      <c r="I22" s="68">
        <f>SUM(I17:I21)</f>
        <v>1</v>
      </c>
      <c r="J22" s="70">
        <f>SUM(J17:J21)</f>
        <v>0</v>
      </c>
      <c r="K22" s="72">
        <f>SUM(K17:K21)</f>
        <v>0</v>
      </c>
      <c r="L22" s="28"/>
    </row>
    <row r="23" spans="1:12" x14ac:dyDescent="0.2">
      <c r="A23" s="74" t="s">
        <v>53</v>
      </c>
      <c r="B23" s="26">
        <f>ServicoFull[[#Totals],[Custo Interno Total (R$)]]/(1-B12)</f>
        <v>0</v>
      </c>
      <c r="C23" s="26">
        <f>ServicoTerceiros[[#Totals],[Valor Venda
Com Tributos (R$)]]</f>
        <v>0</v>
      </c>
      <c r="D23" s="26">
        <f>ServicoTerceiros[[#Totals],[Lucratividade (R$)]]</f>
        <v>0</v>
      </c>
      <c r="E23" s="27">
        <f>IF(C23&lt;&gt;0,D23/(C23*(1-$B$11)),0)</f>
        <v>0</v>
      </c>
      <c r="G23" s="66"/>
      <c r="H23" s="75"/>
      <c r="I23" s="30"/>
      <c r="J23" s="28"/>
      <c r="L23" s="3"/>
    </row>
    <row r="24" spans="1:12" ht="12.75" customHeight="1" x14ac:dyDescent="0.2">
      <c r="A24" s="83" t="s">
        <v>55</v>
      </c>
      <c r="B24" s="26">
        <f>SUM(B22:B23)</f>
        <v>0</v>
      </c>
      <c r="C24" s="176">
        <f>SUM(C22:C23)</f>
        <v>0</v>
      </c>
      <c r="D24" s="26">
        <f>SUM(D22:D23)</f>
        <v>0</v>
      </c>
      <c r="E24" s="27">
        <f>IF(C24&lt;&gt;0,D24/(C24*(1-$B$11)),0)</f>
        <v>0</v>
      </c>
      <c r="G24" s="66"/>
      <c r="H24" s="75"/>
      <c r="I24" s="30"/>
      <c r="J24" s="28"/>
      <c r="L24" s="3"/>
    </row>
    <row r="25" spans="1:12" x14ac:dyDescent="0.2">
      <c r="A25" s="122"/>
      <c r="B25" s="28"/>
      <c r="G25" s="184" t="s">
        <v>202</v>
      </c>
      <c r="H25" s="66"/>
      <c r="I25" s="30"/>
      <c r="J25" s="30"/>
      <c r="K25" s="183" t="s">
        <v>204</v>
      </c>
      <c r="L25" s="28"/>
    </row>
    <row r="26" spans="1:12" ht="12.75" customHeight="1" x14ac:dyDescent="0.2">
      <c r="G26" s="191" t="s">
        <v>66</v>
      </c>
      <c r="H26" s="192"/>
      <c r="I26" s="24" t="s">
        <v>64</v>
      </c>
      <c r="J26" s="24" t="s">
        <v>67</v>
      </c>
      <c r="K26" s="24" t="s">
        <v>67</v>
      </c>
      <c r="L26" s="28"/>
    </row>
    <row r="27" spans="1:12" x14ac:dyDescent="0.2">
      <c r="G27" s="73">
        <v>1</v>
      </c>
      <c r="H27" s="74" t="s">
        <v>126</v>
      </c>
      <c r="I27" s="67">
        <v>0.4</v>
      </c>
      <c r="J27" s="26">
        <f>$C$30*I27</f>
        <v>0</v>
      </c>
      <c r="K27" s="26">
        <f>ROUNDUP(J27,-2)</f>
        <v>0</v>
      </c>
      <c r="L27" s="28"/>
    </row>
    <row r="28" spans="1:12" x14ac:dyDescent="0.2">
      <c r="A28" s="69" t="s">
        <v>62</v>
      </c>
      <c r="B28" s="125" t="s">
        <v>72</v>
      </c>
      <c r="C28" s="125" t="s">
        <v>73</v>
      </c>
      <c r="D28" s="125" t="s">
        <v>26</v>
      </c>
      <c r="E28" s="126" t="s">
        <v>56</v>
      </c>
      <c r="G28" s="73">
        <v>2</v>
      </c>
      <c r="H28" s="74" t="s">
        <v>127</v>
      </c>
      <c r="I28" s="67">
        <v>0.35</v>
      </c>
      <c r="J28" s="26">
        <f>$C$30*I28</f>
        <v>0</v>
      </c>
      <c r="K28" s="26">
        <f>ROUNDUP(J28,-2)</f>
        <v>0</v>
      </c>
      <c r="L28" s="28"/>
    </row>
    <row r="29" spans="1:12" x14ac:dyDescent="0.2">
      <c r="A29" s="83" t="s">
        <v>52</v>
      </c>
      <c r="B29" s="26">
        <f>B17</f>
        <v>0</v>
      </c>
      <c r="C29" s="29">
        <f>C17</f>
        <v>0</v>
      </c>
      <c r="D29" s="26">
        <f>D17</f>
        <v>0</v>
      </c>
      <c r="E29" s="27">
        <f>IF(C29&lt;&gt;0,D29/(C29*(1-$B$10)),0)</f>
        <v>0</v>
      </c>
      <c r="G29" s="73">
        <v>3</v>
      </c>
      <c r="H29" s="74" t="s">
        <v>65</v>
      </c>
      <c r="I29" s="67">
        <v>0.25</v>
      </c>
      <c r="J29" s="26">
        <f>$C$30*I29</f>
        <v>0</v>
      </c>
      <c r="K29" s="26">
        <f>ROUNDUP(J29,-2)</f>
        <v>0</v>
      </c>
      <c r="L29" s="28"/>
    </row>
    <row r="30" spans="1:12" x14ac:dyDescent="0.2">
      <c r="A30" s="83" t="s">
        <v>61</v>
      </c>
      <c r="B30" s="26">
        <f>B24</f>
        <v>0</v>
      </c>
      <c r="C30" s="29">
        <f>C24</f>
        <v>0</v>
      </c>
      <c r="D30" s="26">
        <f>D24</f>
        <v>0</v>
      </c>
      <c r="E30" s="27">
        <f>IF(C30&lt;&gt;0,D30/(C30*(1-$B$11)),0)</f>
        <v>0</v>
      </c>
      <c r="G30" s="73">
        <v>4</v>
      </c>
      <c r="H30" s="74" t="s">
        <v>565</v>
      </c>
      <c r="I30" s="67">
        <v>0</v>
      </c>
      <c r="J30" s="26">
        <f>$C$30*I30</f>
        <v>0</v>
      </c>
      <c r="K30" s="26">
        <f>ROUNDUP(J30,-2)</f>
        <v>0</v>
      </c>
      <c r="L30" s="28"/>
    </row>
    <row r="31" spans="1:12" ht="14.25" customHeight="1" x14ac:dyDescent="0.2">
      <c r="A31" s="83" t="s">
        <v>57</v>
      </c>
      <c r="B31" s="26">
        <f>SUM(B29:B30)</f>
        <v>0</v>
      </c>
      <c r="C31" s="29">
        <f>SUM(C29:C30)</f>
        <v>0</v>
      </c>
      <c r="D31" s="26">
        <f>SUM(D29:D30)</f>
        <v>0</v>
      </c>
      <c r="E31" s="27">
        <f>IF(C31&lt;&gt;0,(D31/((C29*(1-B10))+(C30*(1-B11)))),0)</f>
        <v>0</v>
      </c>
      <c r="G31" s="73">
        <v>5</v>
      </c>
      <c r="H31" s="74" t="s">
        <v>128</v>
      </c>
      <c r="I31" s="67">
        <v>0</v>
      </c>
      <c r="J31" s="26">
        <f>$C$30*I31</f>
        <v>0</v>
      </c>
      <c r="K31" s="26">
        <f>ROUNDUP(J31,-2)</f>
        <v>0</v>
      </c>
      <c r="L31" s="28"/>
    </row>
    <row r="32" spans="1:12" x14ac:dyDescent="0.2">
      <c r="C32" s="24" t="s">
        <v>93</v>
      </c>
      <c r="E32" s="25" t="s">
        <v>117</v>
      </c>
      <c r="G32" s="66"/>
      <c r="H32" s="71"/>
      <c r="I32" s="68">
        <f>SUM(I27:I31)</f>
        <v>1</v>
      </c>
      <c r="J32" s="70">
        <f>SUM(J27:J31)</f>
        <v>0</v>
      </c>
      <c r="K32" s="72">
        <f>SUM(K27:K31)</f>
        <v>0</v>
      </c>
      <c r="L32" s="28"/>
    </row>
    <row r="33" spans="2:14" x14ac:dyDescent="0.2">
      <c r="B33" s="79"/>
      <c r="C33" s="29">
        <f>ROUNDUP(C31,-2)</f>
        <v>0</v>
      </c>
      <c r="E33" s="120">
        <f>IF(C30&lt;&gt;0,C30/C33,0)</f>
        <v>0</v>
      </c>
    </row>
    <row r="35" spans="2:14" x14ac:dyDescent="0.2">
      <c r="E35" s="28"/>
      <c r="G35" s="184" t="s">
        <v>205</v>
      </c>
      <c r="H35" s="66"/>
      <c r="I35" s="30"/>
      <c r="J35" s="30"/>
      <c r="K35" s="183" t="s">
        <v>204</v>
      </c>
      <c r="L35" s="28"/>
      <c r="M35" s="30"/>
      <c r="N35" s="3"/>
    </row>
    <row r="36" spans="2:14" ht="12.75" customHeight="1" x14ac:dyDescent="0.2">
      <c r="E36" s="28"/>
      <c r="G36" s="191" t="s">
        <v>66</v>
      </c>
      <c r="H36" s="192"/>
      <c r="I36" s="24" t="s">
        <v>64</v>
      </c>
      <c r="J36" s="24" t="s">
        <v>67</v>
      </c>
      <c r="K36" s="24" t="s">
        <v>67</v>
      </c>
      <c r="L36" s="28"/>
      <c r="M36" s="30"/>
      <c r="N36" s="3"/>
    </row>
    <row r="37" spans="2:14" x14ac:dyDescent="0.2">
      <c r="E37" s="28"/>
      <c r="G37" s="73">
        <v>1</v>
      </c>
      <c r="H37" s="74" t="s">
        <v>126</v>
      </c>
      <c r="I37" s="67">
        <v>0.4</v>
      </c>
      <c r="J37" s="26">
        <f>$C$33*I37</f>
        <v>0</v>
      </c>
      <c r="K37" s="26">
        <f>ROUNDUP(J37,-2)</f>
        <v>0</v>
      </c>
      <c r="L37" s="28"/>
      <c r="M37" s="30"/>
      <c r="N37" s="3"/>
    </row>
    <row r="38" spans="2:14" x14ac:dyDescent="0.2">
      <c r="E38" s="28"/>
      <c r="G38" s="73">
        <v>2</v>
      </c>
      <c r="H38" s="74" t="s">
        <v>127</v>
      </c>
      <c r="I38" s="67">
        <v>0.35</v>
      </c>
      <c r="J38" s="26">
        <f>$C$33*I38</f>
        <v>0</v>
      </c>
      <c r="K38" s="26">
        <f>ROUNDUP(J38,-2)</f>
        <v>0</v>
      </c>
    </row>
    <row r="39" spans="2:14" x14ac:dyDescent="0.2">
      <c r="E39" s="28"/>
      <c r="G39" s="73">
        <v>3</v>
      </c>
      <c r="H39" s="74" t="s">
        <v>65</v>
      </c>
      <c r="I39" s="67">
        <v>0.25</v>
      </c>
      <c r="J39" s="26">
        <f>$C$33*I39</f>
        <v>0</v>
      </c>
      <c r="K39" s="26">
        <f>ROUNDUP(J39,-2)</f>
        <v>0</v>
      </c>
    </row>
    <row r="40" spans="2:14" x14ac:dyDescent="0.2">
      <c r="E40" s="28"/>
      <c r="G40" s="73">
        <v>4</v>
      </c>
      <c r="H40" s="74" t="s">
        <v>565</v>
      </c>
      <c r="I40" s="67">
        <v>0</v>
      </c>
      <c r="J40" s="26">
        <f>$C$33*I40</f>
        <v>0</v>
      </c>
      <c r="K40" s="26">
        <f>ROUNDUP(J40,-2)</f>
        <v>0</v>
      </c>
    </row>
    <row r="41" spans="2:14" x14ac:dyDescent="0.2">
      <c r="G41" s="73">
        <v>5</v>
      </c>
      <c r="H41" s="74" t="s">
        <v>128</v>
      </c>
      <c r="I41" s="67">
        <v>0</v>
      </c>
      <c r="J41" s="26">
        <f>$C$33*I41</f>
        <v>0</v>
      </c>
      <c r="K41" s="26">
        <f>ROUNDUP(J41,-2)</f>
        <v>0</v>
      </c>
    </row>
    <row r="42" spans="2:14" x14ac:dyDescent="0.2">
      <c r="G42" s="66"/>
      <c r="H42" s="71"/>
      <c r="I42" s="68">
        <f>SUM(I37:I41)</f>
        <v>1</v>
      </c>
      <c r="J42" s="70">
        <f>SUM(J37:J41)</f>
        <v>0</v>
      </c>
      <c r="K42" s="72">
        <f>SUM(K37:K41)</f>
        <v>0</v>
      </c>
    </row>
  </sheetData>
  <dataConsolidate link="1"/>
  <mergeCells count="6">
    <mergeCell ref="G36:H36"/>
    <mergeCell ref="G26:H26"/>
    <mergeCell ref="I2:J2"/>
    <mergeCell ref="K2:L2"/>
    <mergeCell ref="I1:L1"/>
    <mergeCell ref="G16:H16"/>
  </mergeCells>
  <conditionalFormatting sqref="I32">
    <cfRule type="cellIs" dxfId="76" priority="13" operator="notEqual">
      <formula>1</formula>
    </cfRule>
    <cfRule type="cellIs" dxfId="75" priority="14" operator="equal">
      <formula>1</formula>
    </cfRule>
  </conditionalFormatting>
  <conditionalFormatting sqref="J32">
    <cfRule type="cellIs" dxfId="74" priority="58" operator="equal">
      <formula>$C$31</formula>
    </cfRule>
    <cfRule type="cellIs" dxfId="73" priority="59" operator="notEqual">
      <formula>$C$31</formula>
    </cfRule>
  </conditionalFormatting>
  <conditionalFormatting sqref="E33">
    <cfRule type="cellIs" dxfId="72" priority="9" operator="between">
      <formula>0.4</formula>
      <formula>2</formula>
    </cfRule>
    <cfRule type="cellIs" dxfId="71" priority="10" operator="between">
      <formula>0</formula>
      <formula>0.39</formula>
    </cfRule>
  </conditionalFormatting>
  <conditionalFormatting sqref="I22">
    <cfRule type="cellIs" dxfId="70" priority="5" operator="notEqual">
      <formula>1</formula>
    </cfRule>
    <cfRule type="cellIs" dxfId="69" priority="6" operator="equal">
      <formula>1</formula>
    </cfRule>
  </conditionalFormatting>
  <conditionalFormatting sqref="J22">
    <cfRule type="cellIs" dxfId="68" priority="7" operator="equal">
      <formula>$C$31</formula>
    </cfRule>
    <cfRule type="cellIs" dxfId="67" priority="8" operator="notEqual">
      <formula>$C$31</formula>
    </cfRule>
  </conditionalFormatting>
  <conditionalFormatting sqref="I42">
    <cfRule type="cellIs" dxfId="66" priority="1" operator="notEqual">
      <formula>1</formula>
    </cfRule>
    <cfRule type="cellIs" dxfId="65" priority="2" operator="equal">
      <formula>1</formula>
    </cfRule>
  </conditionalFormatting>
  <conditionalFormatting sqref="J42">
    <cfRule type="cellIs" dxfId="64" priority="3" operator="equal">
      <formula>$C$31</formula>
    </cfRule>
    <cfRule type="cellIs" dxfId="63" priority="4" operator="notEqual">
      <formula>$C$31</formula>
    </cfRule>
  </conditionalFormatting>
  <pageMargins left="0.25" right="0.25" top="0.75" bottom="0.75" header="0.3" footer="0.3"/>
  <pageSetup paperSize="9" orientation="landscape" horizontalDpi="1200" verticalDpi="1200" r:id="rId1"/>
  <headerFooter>
    <oddHeader>&amp;C&amp;"-,Negrito"&amp;12&amp;F - Planilha: &amp;A&amp;R&amp;D | &amp;T Hs</oddHeader>
    <oddFooter>&amp;C&amp;"-,Regular"&amp;Z&amp;F&amp;R&amp;"-,Regular"&amp;P/&amp;N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2:J30"/>
  <sheetViews>
    <sheetView workbookViewId="0">
      <selection activeCell="E5" sqref="E5"/>
    </sheetView>
  </sheetViews>
  <sheetFormatPr defaultRowHeight="12.75" x14ac:dyDescent="0.2"/>
  <cols>
    <col min="1" max="1" width="12.5703125" style="4" customWidth="1"/>
    <col min="2" max="2" width="17.85546875" style="4" customWidth="1"/>
    <col min="3" max="3" width="15.7109375" style="4" bestFit="1" customWidth="1"/>
    <col min="4" max="4" width="15.140625" style="4" bestFit="1" customWidth="1"/>
    <col min="5" max="5" width="15.140625" style="4" customWidth="1"/>
    <col min="6" max="6" width="36.42578125" style="4" bestFit="1" customWidth="1"/>
    <col min="7" max="16384" width="9.140625" style="4"/>
  </cols>
  <sheetData>
    <row r="2" spans="1:10" ht="18.75" x14ac:dyDescent="0.2">
      <c r="A2" s="81" t="s">
        <v>17</v>
      </c>
      <c r="B2" s="6"/>
      <c r="C2" s="6"/>
      <c r="D2" s="6"/>
      <c r="E2" s="6"/>
      <c r="F2" s="6"/>
      <c r="G2" s="6"/>
      <c r="H2" s="6"/>
      <c r="I2" s="6"/>
      <c r="J2" s="6"/>
    </row>
    <row r="3" spans="1:10" x14ac:dyDescent="0.2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x14ac:dyDescent="0.2">
      <c r="A4" s="3" t="s">
        <v>9</v>
      </c>
      <c r="B4" s="3" t="s">
        <v>10</v>
      </c>
      <c r="C4" s="3" t="s">
        <v>11</v>
      </c>
      <c r="D4" s="3" t="s">
        <v>12</v>
      </c>
      <c r="E4" s="3" t="s">
        <v>0</v>
      </c>
      <c r="F4" s="3" t="s">
        <v>3</v>
      </c>
      <c r="G4" s="3" t="s">
        <v>13</v>
      </c>
      <c r="H4" s="3" t="s">
        <v>14</v>
      </c>
      <c r="I4" s="3" t="s">
        <v>15</v>
      </c>
      <c r="J4" s="3" t="s">
        <v>16</v>
      </c>
    </row>
    <row r="5" spans="1:10" x14ac:dyDescent="0.2">
      <c r="A5" s="1">
        <v>1</v>
      </c>
      <c r="B5" s="1"/>
      <c r="C5" s="1"/>
      <c r="D5" s="1"/>
      <c r="E5" s="1"/>
      <c r="F5" s="2"/>
      <c r="G5" s="1"/>
      <c r="H5" s="1"/>
      <c r="I5" s="1"/>
      <c r="J5" s="1"/>
    </row>
    <row r="6" spans="1:10" x14ac:dyDescent="0.2">
      <c r="A6" s="1">
        <v>2</v>
      </c>
      <c r="B6" s="1"/>
      <c r="C6" s="1"/>
      <c r="D6" s="1"/>
      <c r="E6" s="1"/>
      <c r="F6" s="2"/>
      <c r="G6" s="1"/>
      <c r="H6" s="1"/>
      <c r="I6" s="1"/>
      <c r="J6" s="1"/>
    </row>
    <row r="7" spans="1:10" x14ac:dyDescent="0.2">
      <c r="A7" s="1">
        <v>3</v>
      </c>
      <c r="B7" s="1"/>
      <c r="C7" s="1"/>
      <c r="D7" s="1"/>
      <c r="E7" s="1"/>
      <c r="F7" s="2"/>
      <c r="G7" s="1"/>
      <c r="H7" s="1"/>
      <c r="I7" s="1"/>
      <c r="J7" s="1"/>
    </row>
    <row r="8" spans="1:10" x14ac:dyDescent="0.2">
      <c r="A8" s="1">
        <v>4</v>
      </c>
      <c r="B8" s="1"/>
      <c r="C8" s="1"/>
      <c r="D8" s="1"/>
      <c r="E8" s="1"/>
      <c r="F8" s="2"/>
      <c r="G8" s="91"/>
      <c r="H8" s="1"/>
      <c r="I8" s="1"/>
      <c r="J8" s="1"/>
    </row>
    <row r="9" spans="1:10" x14ac:dyDescent="0.2">
      <c r="A9" s="1">
        <v>5</v>
      </c>
      <c r="B9" s="1"/>
      <c r="C9" s="1"/>
      <c r="D9" s="1"/>
      <c r="E9" s="1"/>
      <c r="F9" s="2"/>
      <c r="G9" s="1"/>
      <c r="H9" s="1"/>
      <c r="I9" s="1"/>
      <c r="J9" s="1"/>
    </row>
    <row r="10" spans="1:10" x14ac:dyDescent="0.2">
      <c r="A10" s="1">
        <v>6</v>
      </c>
      <c r="B10" s="1"/>
      <c r="C10" s="1"/>
      <c r="D10" s="1"/>
      <c r="E10" s="1"/>
      <c r="F10" s="2"/>
      <c r="G10" s="1"/>
      <c r="H10" s="1"/>
      <c r="I10" s="1"/>
      <c r="J10" s="1"/>
    </row>
    <row r="11" spans="1:10" x14ac:dyDescent="0.2">
      <c r="A11" s="1">
        <v>7</v>
      </c>
      <c r="B11" s="1"/>
      <c r="C11" s="1"/>
      <c r="D11" s="1"/>
      <c r="E11" s="1"/>
      <c r="F11" s="2"/>
      <c r="G11" s="1"/>
      <c r="H11" s="1"/>
      <c r="I11" s="1"/>
      <c r="J11" s="1"/>
    </row>
    <row r="12" spans="1:10" x14ac:dyDescent="0.2">
      <c r="A12" s="1">
        <v>8</v>
      </c>
      <c r="B12" s="1"/>
      <c r="C12" s="1"/>
      <c r="D12" s="1"/>
      <c r="E12" s="1"/>
      <c r="F12" s="2"/>
      <c r="G12" s="1"/>
      <c r="H12" s="1"/>
      <c r="I12" s="1"/>
      <c r="J12" s="1"/>
    </row>
    <row r="13" spans="1:10" x14ac:dyDescent="0.2">
      <c r="A13" s="1">
        <v>9</v>
      </c>
      <c r="B13" s="1"/>
      <c r="C13" s="1"/>
      <c r="D13" s="1"/>
      <c r="E13" s="1"/>
      <c r="F13" s="2"/>
      <c r="G13" s="1"/>
      <c r="H13" s="1"/>
      <c r="I13" s="1"/>
      <c r="J13" s="1"/>
    </row>
    <row r="14" spans="1:10" x14ac:dyDescent="0.2">
      <c r="A14" s="1">
        <v>10</v>
      </c>
      <c r="B14" s="1"/>
      <c r="C14" s="1"/>
      <c r="D14" s="1"/>
      <c r="E14" s="1"/>
      <c r="F14" s="2"/>
      <c r="G14" s="1"/>
      <c r="H14" s="1"/>
      <c r="I14" s="1"/>
      <c r="J14" s="1"/>
    </row>
    <row r="15" spans="1:10" x14ac:dyDescent="0.2">
      <c r="A15" s="1">
        <v>11</v>
      </c>
      <c r="B15" s="1"/>
      <c r="C15" s="1"/>
      <c r="D15" s="1"/>
      <c r="E15" s="1"/>
      <c r="F15" s="2"/>
      <c r="G15" s="1"/>
      <c r="H15" s="1"/>
      <c r="I15" s="1"/>
      <c r="J15" s="1"/>
    </row>
    <row r="16" spans="1:10" x14ac:dyDescent="0.2">
      <c r="A16" s="1">
        <v>12</v>
      </c>
      <c r="B16" s="1"/>
      <c r="C16" s="1"/>
      <c r="D16" s="1"/>
      <c r="E16" s="1"/>
      <c r="F16" s="2"/>
      <c r="G16" s="1"/>
      <c r="H16" s="1"/>
      <c r="I16" s="1"/>
      <c r="J16" s="1"/>
    </row>
    <row r="17" spans="1:10" x14ac:dyDescent="0.2">
      <c r="A17" s="1">
        <v>13</v>
      </c>
      <c r="B17" s="1"/>
      <c r="C17" s="1"/>
      <c r="D17" s="1"/>
      <c r="E17" s="1"/>
      <c r="F17" s="2"/>
      <c r="G17" s="1"/>
      <c r="H17" s="1"/>
      <c r="I17" s="1"/>
      <c r="J17" s="1"/>
    </row>
    <row r="18" spans="1:10" x14ac:dyDescent="0.2">
      <c r="A18" s="1">
        <v>14</v>
      </c>
      <c r="B18" s="1"/>
      <c r="C18" s="1"/>
      <c r="D18" s="1"/>
      <c r="E18" s="1"/>
      <c r="F18" s="2"/>
      <c r="G18" s="1"/>
      <c r="H18" s="1"/>
      <c r="I18" s="1"/>
      <c r="J18" s="1"/>
    </row>
    <row r="19" spans="1:10" x14ac:dyDescent="0.2">
      <c r="A19" s="1">
        <v>15</v>
      </c>
      <c r="B19" s="1"/>
      <c r="C19" s="1"/>
      <c r="D19" s="1"/>
      <c r="E19" s="1"/>
      <c r="F19" s="2"/>
      <c r="G19" s="1"/>
      <c r="H19" s="1"/>
      <c r="I19" s="1"/>
      <c r="J19" s="1"/>
    </row>
    <row r="20" spans="1:10" x14ac:dyDescent="0.2">
      <c r="A20" s="1">
        <v>16</v>
      </c>
      <c r="B20" s="1"/>
      <c r="C20" s="1"/>
      <c r="D20" s="1"/>
      <c r="E20" s="1"/>
      <c r="F20" s="2"/>
      <c r="G20" s="1"/>
      <c r="H20" s="1"/>
      <c r="I20" s="1"/>
      <c r="J20" s="1"/>
    </row>
    <row r="21" spans="1:10" x14ac:dyDescent="0.2">
      <c r="A21" s="1">
        <v>17</v>
      </c>
      <c r="B21" s="1"/>
      <c r="C21" s="1"/>
      <c r="D21" s="1"/>
      <c r="E21" s="1"/>
      <c r="F21" s="2"/>
      <c r="G21" s="1"/>
      <c r="H21" s="1"/>
      <c r="I21" s="1"/>
      <c r="J21" s="1"/>
    </row>
    <row r="22" spans="1:10" x14ac:dyDescent="0.2">
      <c r="A22" s="1">
        <v>18</v>
      </c>
      <c r="B22" s="1"/>
      <c r="C22" s="1"/>
      <c r="D22" s="1"/>
      <c r="E22" s="1"/>
      <c r="F22" s="2"/>
      <c r="G22" s="1"/>
      <c r="H22" s="1"/>
      <c r="I22" s="1"/>
      <c r="J22" s="1"/>
    </row>
    <row r="23" spans="1:10" x14ac:dyDescent="0.2">
      <c r="A23" s="1">
        <v>19</v>
      </c>
      <c r="B23" s="1"/>
      <c r="C23" s="1"/>
      <c r="D23" s="1"/>
      <c r="E23" s="1"/>
      <c r="F23" s="2"/>
      <c r="G23" s="1"/>
      <c r="H23" s="1"/>
      <c r="I23" s="1"/>
      <c r="J23" s="1"/>
    </row>
    <row r="24" spans="1:10" x14ac:dyDescent="0.2">
      <c r="A24" s="1">
        <v>20</v>
      </c>
      <c r="B24" s="1"/>
      <c r="C24" s="1"/>
      <c r="D24" s="1"/>
      <c r="E24" s="1"/>
      <c r="F24" s="2"/>
      <c r="G24" s="1"/>
      <c r="H24" s="1"/>
      <c r="I24" s="1"/>
      <c r="J24" s="1"/>
    </row>
    <row r="25" spans="1:10" x14ac:dyDescent="0.2">
      <c r="A25" s="1">
        <v>21</v>
      </c>
      <c r="B25" s="1"/>
      <c r="C25" s="1"/>
      <c r="D25" s="1"/>
      <c r="E25" s="1"/>
      <c r="F25" s="2"/>
      <c r="G25" s="1"/>
      <c r="H25" s="1"/>
      <c r="I25" s="1"/>
      <c r="J25" s="1"/>
    </row>
    <row r="26" spans="1:10" x14ac:dyDescent="0.2">
      <c r="A26" s="1">
        <v>22</v>
      </c>
      <c r="B26" s="1"/>
      <c r="C26" s="1"/>
      <c r="D26" s="1"/>
      <c r="E26" s="1"/>
      <c r="F26" s="2"/>
      <c r="G26" s="1"/>
      <c r="H26" s="1"/>
      <c r="I26" s="1"/>
      <c r="J26" s="1"/>
    </row>
    <row r="27" spans="1:10" x14ac:dyDescent="0.2">
      <c r="A27" s="1">
        <v>23</v>
      </c>
      <c r="B27" s="1"/>
      <c r="C27" s="1"/>
      <c r="D27" s="1"/>
      <c r="E27" s="1"/>
      <c r="F27" s="2"/>
      <c r="G27" s="1"/>
      <c r="H27" s="1"/>
      <c r="I27" s="1"/>
      <c r="J27" s="1"/>
    </row>
    <row r="28" spans="1:10" x14ac:dyDescent="0.2">
      <c r="A28" s="1">
        <v>24</v>
      </c>
      <c r="B28" s="1"/>
      <c r="C28" s="1"/>
      <c r="D28" s="1"/>
      <c r="E28" s="1"/>
      <c r="F28" s="2"/>
      <c r="G28" s="1"/>
      <c r="H28" s="1"/>
      <c r="I28" s="1"/>
      <c r="J28" s="1"/>
    </row>
    <row r="29" spans="1:10" x14ac:dyDescent="0.2">
      <c r="A29" s="1">
        <v>25</v>
      </c>
      <c r="B29" s="1"/>
      <c r="C29" s="1"/>
      <c r="D29" s="1"/>
      <c r="E29" s="1"/>
      <c r="F29" s="2"/>
      <c r="G29" s="1"/>
      <c r="H29" s="1"/>
      <c r="I29" s="1"/>
      <c r="J29" s="1"/>
    </row>
    <row r="30" spans="1:10" s="7" customFormat="1" x14ac:dyDescent="0.2">
      <c r="A30" s="89"/>
      <c r="B30" s="89"/>
      <c r="C30" s="89"/>
      <c r="D30" s="89"/>
      <c r="E30" s="3"/>
      <c r="F30" s="90"/>
      <c r="G30" s="89">
        <f>SUBTOTAL(109,EspecificacoesIO[DI])</f>
        <v>0</v>
      </c>
      <c r="H30" s="89">
        <f>SUBTOTAL(109,EspecificacoesIO[DO])</f>
        <v>0</v>
      </c>
      <c r="I30" s="89">
        <f>SUM(EspecificacoesIO[AI])</f>
        <v>0</v>
      </c>
      <c r="J30" s="89">
        <f>SUM(EspecificacoesIO[AO])</f>
        <v>0</v>
      </c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4F085-7276-4360-A7F9-8B783946F18E}">
  <sheetPr codeName="Planilha1"/>
  <dimension ref="A1:P1020"/>
  <sheetViews>
    <sheetView workbookViewId="0">
      <selection activeCell="B17" sqref="B17"/>
    </sheetView>
  </sheetViews>
  <sheetFormatPr defaultRowHeight="12.75" x14ac:dyDescent="0.2"/>
  <cols>
    <col min="1" max="1" width="17.5703125" bestFit="1" customWidth="1"/>
    <col min="2" max="2" width="13.140625" bestFit="1" customWidth="1"/>
    <col min="3" max="3" width="10" bestFit="1" customWidth="1"/>
    <col min="4" max="4" width="8.140625" bestFit="1" customWidth="1"/>
    <col min="5" max="5" width="10.85546875" bestFit="1" customWidth="1"/>
    <col min="6" max="6" width="24.42578125" bestFit="1" customWidth="1"/>
    <col min="7" max="7" width="81.140625" bestFit="1" customWidth="1"/>
    <col min="8" max="8" width="32.5703125" bestFit="1" customWidth="1"/>
    <col min="9" max="9" width="31.42578125" bestFit="1" customWidth="1"/>
    <col min="10" max="10" width="9.7109375" bestFit="1" customWidth="1"/>
    <col min="11" max="11" width="26.42578125" bestFit="1" customWidth="1"/>
    <col min="12" max="12" width="14.7109375" bestFit="1" customWidth="1"/>
    <col min="13" max="13" width="46.5703125" bestFit="1" customWidth="1"/>
    <col min="14" max="14" width="15.5703125" bestFit="1" customWidth="1"/>
    <col min="15" max="15" width="23.7109375" bestFit="1" customWidth="1"/>
    <col min="16" max="16" width="9" bestFit="1" customWidth="1"/>
    <col min="17" max="17" width="12.28515625" bestFit="1" customWidth="1"/>
  </cols>
  <sheetData>
    <row r="1" spans="1:16" x14ac:dyDescent="0.2">
      <c r="A1" t="s">
        <v>8</v>
      </c>
      <c r="B1" t="s">
        <v>2</v>
      </c>
      <c r="C1" t="s">
        <v>94</v>
      </c>
      <c r="D1" t="s">
        <v>0</v>
      </c>
      <c r="E1" t="s">
        <v>22</v>
      </c>
      <c r="F1" t="s">
        <v>1</v>
      </c>
      <c r="G1" t="s">
        <v>3</v>
      </c>
      <c r="H1" t="s">
        <v>38</v>
      </c>
      <c r="I1" t="s">
        <v>39</v>
      </c>
      <c r="J1" t="s">
        <v>40</v>
      </c>
      <c r="K1" t="s">
        <v>71</v>
      </c>
      <c r="L1" t="s">
        <v>33</v>
      </c>
      <c r="M1" t="s">
        <v>37</v>
      </c>
      <c r="N1" t="s">
        <v>177</v>
      </c>
      <c r="O1" t="s">
        <v>178</v>
      </c>
      <c r="P1" t="s">
        <v>566</v>
      </c>
    </row>
    <row r="2" spans="1:16" x14ac:dyDescent="0.2">
      <c r="A2" t="s">
        <v>222</v>
      </c>
      <c r="B2" t="s">
        <v>49</v>
      </c>
      <c r="D2">
        <v>1</v>
      </c>
      <c r="E2" t="s">
        <v>23</v>
      </c>
      <c r="F2" t="s">
        <v>567</v>
      </c>
      <c r="G2" t="s">
        <v>568</v>
      </c>
      <c r="H2">
        <v>3017.72</v>
      </c>
      <c r="I2">
        <v>3017.72</v>
      </c>
      <c r="J2">
        <v>9.7500000000000003E-2</v>
      </c>
      <c r="K2">
        <v>3311.9476999999997</v>
      </c>
      <c r="L2">
        <v>0.1</v>
      </c>
      <c r="M2">
        <v>3679.9418888888886</v>
      </c>
      <c r="N2" s="178">
        <v>44755</v>
      </c>
      <c r="O2" t="s">
        <v>183</v>
      </c>
    </row>
    <row r="3" spans="1:16" x14ac:dyDescent="0.2">
      <c r="A3" t="s">
        <v>569</v>
      </c>
      <c r="B3" t="s">
        <v>19</v>
      </c>
      <c r="D3">
        <v>1</v>
      </c>
      <c r="E3" t="s">
        <v>23</v>
      </c>
      <c r="F3" t="s">
        <v>570</v>
      </c>
      <c r="G3" t="s">
        <v>571</v>
      </c>
      <c r="H3">
        <v>1315.42</v>
      </c>
      <c r="I3">
        <v>1315.42</v>
      </c>
      <c r="J3">
        <v>9.7500000000000003E-2</v>
      </c>
      <c r="K3">
        <v>1443.67345</v>
      </c>
      <c r="L3">
        <v>0.1</v>
      </c>
      <c r="M3">
        <v>1604.081611111111</v>
      </c>
      <c r="N3" s="178">
        <v>44816</v>
      </c>
      <c r="O3" t="s">
        <v>569</v>
      </c>
    </row>
    <row r="4" spans="1:16" x14ac:dyDescent="0.2">
      <c r="A4" t="s">
        <v>569</v>
      </c>
      <c r="B4" t="s">
        <v>79</v>
      </c>
      <c r="D4">
        <v>1</v>
      </c>
      <c r="E4" t="s">
        <v>23</v>
      </c>
      <c r="F4" t="s">
        <v>572</v>
      </c>
      <c r="G4" t="s">
        <v>573</v>
      </c>
      <c r="H4">
        <v>741.51</v>
      </c>
      <c r="I4">
        <v>741.51</v>
      </c>
      <c r="J4">
        <v>9.7500000000000003E-2</v>
      </c>
      <c r="K4">
        <v>813.80722500000002</v>
      </c>
      <c r="L4">
        <v>0.1</v>
      </c>
      <c r="M4">
        <v>904.23024999999996</v>
      </c>
      <c r="N4" s="178">
        <v>44724</v>
      </c>
      <c r="O4" t="s">
        <v>569</v>
      </c>
    </row>
    <row r="5" spans="1:16" x14ac:dyDescent="0.2">
      <c r="A5" t="s">
        <v>574</v>
      </c>
      <c r="B5" t="s">
        <v>96</v>
      </c>
      <c r="D5">
        <v>1</v>
      </c>
      <c r="E5" t="s">
        <v>23</v>
      </c>
      <c r="G5" t="s">
        <v>575</v>
      </c>
      <c r="H5">
        <v>0.77</v>
      </c>
      <c r="I5">
        <v>0.77</v>
      </c>
      <c r="J5">
        <v>0</v>
      </c>
      <c r="K5">
        <v>0.77</v>
      </c>
      <c r="L5">
        <v>0.1</v>
      </c>
      <c r="M5">
        <v>0.85555555555555551</v>
      </c>
      <c r="N5" s="178">
        <v>44724</v>
      </c>
      <c r="O5" t="s">
        <v>221</v>
      </c>
    </row>
    <row r="6" spans="1:16" x14ac:dyDescent="0.2">
      <c r="A6" t="s">
        <v>444</v>
      </c>
      <c r="B6" t="s">
        <v>48</v>
      </c>
      <c r="D6">
        <v>1</v>
      </c>
      <c r="E6" t="s">
        <v>23</v>
      </c>
      <c r="G6" t="s">
        <v>576</v>
      </c>
      <c r="H6">
        <v>1.35</v>
      </c>
      <c r="I6">
        <v>1.35</v>
      </c>
      <c r="J6">
        <v>0</v>
      </c>
      <c r="K6">
        <v>1.35</v>
      </c>
      <c r="L6">
        <v>0.1</v>
      </c>
      <c r="M6">
        <v>1.35</v>
      </c>
      <c r="N6" s="178">
        <v>44851</v>
      </c>
      <c r="O6" t="s">
        <v>221</v>
      </c>
      <c r="P6" t="s">
        <v>577</v>
      </c>
    </row>
    <row r="7" spans="1:16" x14ac:dyDescent="0.2">
      <c r="A7" t="s">
        <v>444</v>
      </c>
      <c r="B7" t="s">
        <v>48</v>
      </c>
      <c r="D7">
        <v>1</v>
      </c>
      <c r="E7" t="s">
        <v>23</v>
      </c>
      <c r="F7" t="s">
        <v>578</v>
      </c>
      <c r="G7" t="s">
        <v>579</v>
      </c>
      <c r="H7">
        <v>1.26</v>
      </c>
      <c r="I7">
        <v>1.26</v>
      </c>
      <c r="J7">
        <v>0</v>
      </c>
      <c r="K7">
        <v>1.26</v>
      </c>
      <c r="L7">
        <v>0.1</v>
      </c>
      <c r="M7">
        <v>1.4</v>
      </c>
      <c r="N7" s="178">
        <v>44763</v>
      </c>
      <c r="O7" t="s">
        <v>221</v>
      </c>
    </row>
    <row r="8" spans="1:16" x14ac:dyDescent="0.2">
      <c r="A8" t="s">
        <v>342</v>
      </c>
      <c r="B8" t="s">
        <v>19</v>
      </c>
      <c r="D8">
        <v>1</v>
      </c>
      <c r="E8" t="s">
        <v>23</v>
      </c>
      <c r="F8" t="s">
        <v>217</v>
      </c>
      <c r="G8" t="s">
        <v>218</v>
      </c>
      <c r="H8">
        <v>878</v>
      </c>
      <c r="I8">
        <v>878</v>
      </c>
      <c r="J8">
        <v>0</v>
      </c>
      <c r="K8">
        <v>878</v>
      </c>
      <c r="L8">
        <v>0.1</v>
      </c>
      <c r="M8">
        <v>975.55555555555554</v>
      </c>
      <c r="N8" s="178">
        <v>44698</v>
      </c>
      <c r="O8" t="s">
        <v>345</v>
      </c>
    </row>
    <row r="9" spans="1:16" x14ac:dyDescent="0.2">
      <c r="A9" t="s">
        <v>485</v>
      </c>
      <c r="B9" t="s">
        <v>580</v>
      </c>
      <c r="D9">
        <v>1</v>
      </c>
      <c r="E9" t="s">
        <v>23</v>
      </c>
      <c r="F9" t="s">
        <v>581</v>
      </c>
      <c r="G9" t="s">
        <v>582</v>
      </c>
      <c r="H9">
        <v>68.430000000000007</v>
      </c>
      <c r="I9">
        <v>68.430000000000007</v>
      </c>
      <c r="J9">
        <v>0</v>
      </c>
      <c r="K9">
        <v>68.430000000000007</v>
      </c>
      <c r="L9">
        <v>0.1</v>
      </c>
      <c r="M9">
        <v>76.033333333333346</v>
      </c>
      <c r="N9" s="178">
        <v>44730</v>
      </c>
      <c r="O9" t="s">
        <v>221</v>
      </c>
    </row>
    <row r="10" spans="1:16" x14ac:dyDescent="0.2">
      <c r="A10" t="s">
        <v>485</v>
      </c>
      <c r="B10" t="s">
        <v>48</v>
      </c>
      <c r="D10">
        <v>1</v>
      </c>
      <c r="E10" t="s">
        <v>23</v>
      </c>
      <c r="F10" t="s">
        <v>499</v>
      </c>
      <c r="G10" t="s">
        <v>500</v>
      </c>
      <c r="H10">
        <v>630.12</v>
      </c>
      <c r="I10">
        <v>630.12</v>
      </c>
      <c r="J10">
        <v>0</v>
      </c>
      <c r="K10">
        <v>630.12</v>
      </c>
      <c r="L10">
        <v>0.1</v>
      </c>
      <c r="M10">
        <v>700.13333333333333</v>
      </c>
      <c r="N10" s="178">
        <v>44699</v>
      </c>
      <c r="O10" t="s">
        <v>221</v>
      </c>
    </row>
    <row r="11" spans="1:16" x14ac:dyDescent="0.2">
      <c r="A11" t="s">
        <v>359</v>
      </c>
      <c r="B11" t="s">
        <v>19</v>
      </c>
      <c r="D11">
        <v>1</v>
      </c>
      <c r="E11" t="s">
        <v>23</v>
      </c>
      <c r="F11" t="s">
        <v>583</v>
      </c>
      <c r="G11" t="s">
        <v>584</v>
      </c>
      <c r="H11">
        <v>1935.57</v>
      </c>
      <c r="I11">
        <v>1935.57</v>
      </c>
      <c r="J11">
        <v>0</v>
      </c>
      <c r="K11">
        <v>1935.57</v>
      </c>
      <c r="L11">
        <v>0.1</v>
      </c>
      <c r="M11">
        <v>2150.6333333333332</v>
      </c>
      <c r="N11" s="178">
        <v>44755</v>
      </c>
      <c r="O11" t="s">
        <v>187</v>
      </c>
    </row>
    <row r="12" spans="1:16" x14ac:dyDescent="0.2">
      <c r="A12" t="s">
        <v>585</v>
      </c>
      <c r="B12" t="s">
        <v>19</v>
      </c>
      <c r="D12">
        <v>1</v>
      </c>
      <c r="E12" t="s">
        <v>23</v>
      </c>
      <c r="F12" t="s">
        <v>586</v>
      </c>
      <c r="G12" t="s">
        <v>587</v>
      </c>
      <c r="H12">
        <v>3045.39</v>
      </c>
      <c r="I12">
        <v>3045.39</v>
      </c>
      <c r="J12">
        <v>9.7500000000000003E-2</v>
      </c>
      <c r="K12">
        <v>3342.315525</v>
      </c>
      <c r="L12">
        <v>0.1</v>
      </c>
      <c r="M12">
        <v>3713.6839166666664</v>
      </c>
      <c r="N12" s="178">
        <v>44755</v>
      </c>
      <c r="O12" t="s">
        <v>183</v>
      </c>
    </row>
    <row r="13" spans="1:16" x14ac:dyDescent="0.2">
      <c r="A13" t="s">
        <v>588</v>
      </c>
      <c r="B13" t="s">
        <v>19</v>
      </c>
      <c r="D13">
        <v>1</v>
      </c>
      <c r="E13" t="s">
        <v>23</v>
      </c>
      <c r="F13" t="s">
        <v>589</v>
      </c>
      <c r="G13" t="s">
        <v>590</v>
      </c>
      <c r="H13">
        <v>1807.34</v>
      </c>
      <c r="I13">
        <v>1807.34</v>
      </c>
      <c r="J13">
        <v>0</v>
      </c>
      <c r="K13">
        <v>1807.34</v>
      </c>
      <c r="L13">
        <v>0.1</v>
      </c>
      <c r="M13">
        <v>2008.1555555555553</v>
      </c>
      <c r="N13" s="178">
        <v>44762</v>
      </c>
      <c r="O13" t="s">
        <v>588</v>
      </c>
    </row>
    <row r="14" spans="1:16" x14ac:dyDescent="0.2">
      <c r="A14" t="s">
        <v>485</v>
      </c>
      <c r="B14" t="s">
        <v>591</v>
      </c>
      <c r="D14">
        <v>1</v>
      </c>
      <c r="E14" t="s">
        <v>23</v>
      </c>
      <c r="F14" t="s">
        <v>592</v>
      </c>
      <c r="G14" t="s">
        <v>593</v>
      </c>
      <c r="H14">
        <v>54.35</v>
      </c>
      <c r="I14">
        <v>54.35</v>
      </c>
      <c r="J14">
        <v>0</v>
      </c>
      <c r="K14">
        <v>54.35</v>
      </c>
      <c r="L14">
        <v>0.1</v>
      </c>
      <c r="M14">
        <v>60.388888888888886</v>
      </c>
      <c r="N14" s="178">
        <v>44730</v>
      </c>
      <c r="O14" t="s">
        <v>221</v>
      </c>
    </row>
    <row r="15" spans="1:16" x14ac:dyDescent="0.2">
      <c r="A15" t="s">
        <v>456</v>
      </c>
      <c r="B15" t="s">
        <v>6</v>
      </c>
      <c r="D15">
        <v>1</v>
      </c>
      <c r="E15" t="s">
        <v>23</v>
      </c>
      <c r="F15" t="s">
        <v>594</v>
      </c>
      <c r="G15" t="s">
        <v>595</v>
      </c>
      <c r="H15">
        <v>6944.44</v>
      </c>
      <c r="I15">
        <v>6944.44</v>
      </c>
      <c r="J15">
        <v>0</v>
      </c>
      <c r="K15">
        <v>6944.44</v>
      </c>
      <c r="L15">
        <v>0.1</v>
      </c>
      <c r="M15">
        <v>7716.0444444444438</v>
      </c>
      <c r="N15" s="178">
        <v>44724</v>
      </c>
      <c r="O15" t="s">
        <v>456</v>
      </c>
    </row>
    <row r="16" spans="1:16" x14ac:dyDescent="0.2">
      <c r="A16" t="s">
        <v>485</v>
      </c>
      <c r="B16" t="s">
        <v>19</v>
      </c>
      <c r="D16">
        <v>1</v>
      </c>
      <c r="E16" t="s">
        <v>23</v>
      </c>
      <c r="F16" t="s">
        <v>596</v>
      </c>
      <c r="G16" t="s">
        <v>597</v>
      </c>
      <c r="H16">
        <v>874.02</v>
      </c>
      <c r="I16">
        <v>874.02</v>
      </c>
      <c r="J16">
        <v>0</v>
      </c>
      <c r="K16">
        <v>874.02</v>
      </c>
      <c r="L16">
        <v>0.1</v>
      </c>
      <c r="M16">
        <v>971.13333333333333</v>
      </c>
      <c r="N16" s="178">
        <v>44823</v>
      </c>
      <c r="O16" t="s">
        <v>221</v>
      </c>
    </row>
    <row r="17" spans="1:15" x14ac:dyDescent="0.2">
      <c r="A17" t="s">
        <v>485</v>
      </c>
      <c r="B17" t="s">
        <v>19</v>
      </c>
      <c r="D17">
        <v>1</v>
      </c>
      <c r="E17" t="s">
        <v>23</v>
      </c>
      <c r="F17" t="s">
        <v>598</v>
      </c>
      <c r="G17" t="s">
        <v>599</v>
      </c>
      <c r="H17">
        <v>1613.4</v>
      </c>
      <c r="I17">
        <v>1613.4</v>
      </c>
      <c r="J17">
        <v>0</v>
      </c>
      <c r="K17">
        <v>1613.4</v>
      </c>
      <c r="L17">
        <v>0.1</v>
      </c>
      <c r="M17">
        <v>1792.6666666666667</v>
      </c>
      <c r="N17" s="178">
        <v>44823</v>
      </c>
      <c r="O17" t="s">
        <v>221</v>
      </c>
    </row>
    <row r="18" spans="1:15" x14ac:dyDescent="0.2">
      <c r="A18" t="s">
        <v>405</v>
      </c>
      <c r="B18" t="s">
        <v>600</v>
      </c>
      <c r="D18">
        <v>1</v>
      </c>
      <c r="E18" t="s">
        <v>23</v>
      </c>
      <c r="F18" t="s">
        <v>601</v>
      </c>
      <c r="G18" t="s">
        <v>602</v>
      </c>
      <c r="H18">
        <v>380.29</v>
      </c>
      <c r="I18">
        <v>380.29</v>
      </c>
      <c r="J18">
        <v>0</v>
      </c>
      <c r="K18">
        <v>380.29</v>
      </c>
      <c r="L18">
        <v>0.1</v>
      </c>
      <c r="M18">
        <v>422.54444444444448</v>
      </c>
      <c r="N18" s="178">
        <v>44740</v>
      </c>
      <c r="O18" t="s">
        <v>221</v>
      </c>
    </row>
    <row r="19" spans="1:15" x14ac:dyDescent="0.2">
      <c r="A19" t="s">
        <v>603</v>
      </c>
      <c r="B19" t="s">
        <v>6</v>
      </c>
      <c r="D19">
        <v>1</v>
      </c>
      <c r="E19" t="s">
        <v>23</v>
      </c>
      <c r="F19" t="s">
        <v>604</v>
      </c>
      <c r="G19" t="s">
        <v>605</v>
      </c>
      <c r="H19">
        <v>301</v>
      </c>
      <c r="I19">
        <v>301</v>
      </c>
      <c r="J19">
        <v>6.5000000000000002E-2</v>
      </c>
      <c r="K19">
        <v>320.565</v>
      </c>
      <c r="L19">
        <v>0.1</v>
      </c>
      <c r="M19">
        <v>356.18333333333334</v>
      </c>
      <c r="N19" s="178">
        <v>44782</v>
      </c>
      <c r="O19" t="s">
        <v>606</v>
      </c>
    </row>
    <row r="20" spans="1:15" x14ac:dyDescent="0.2">
      <c r="A20" t="s">
        <v>444</v>
      </c>
      <c r="B20" t="s">
        <v>48</v>
      </c>
      <c r="D20">
        <v>1</v>
      </c>
      <c r="E20" t="s">
        <v>23</v>
      </c>
      <c r="F20" t="s">
        <v>607</v>
      </c>
      <c r="G20" t="s">
        <v>608</v>
      </c>
      <c r="H20">
        <v>0.93</v>
      </c>
      <c r="I20">
        <v>0.93</v>
      </c>
      <c r="J20">
        <v>0</v>
      </c>
      <c r="K20">
        <v>0.93</v>
      </c>
      <c r="L20">
        <v>0.1</v>
      </c>
      <c r="M20">
        <v>1.0333333333333334</v>
      </c>
      <c r="N20" s="178">
        <v>44763</v>
      </c>
      <c r="O20" t="s">
        <v>221</v>
      </c>
    </row>
    <row r="21" spans="1:15" x14ac:dyDescent="0.2">
      <c r="A21" t="s">
        <v>609</v>
      </c>
      <c r="B21" t="s">
        <v>96</v>
      </c>
      <c r="D21">
        <v>1</v>
      </c>
      <c r="E21" t="s">
        <v>23</v>
      </c>
      <c r="F21" t="s">
        <v>610</v>
      </c>
      <c r="G21" t="s">
        <v>611</v>
      </c>
      <c r="H21">
        <v>0.5</v>
      </c>
      <c r="I21">
        <v>0.5</v>
      </c>
      <c r="J21">
        <v>0</v>
      </c>
      <c r="K21">
        <v>0.5</v>
      </c>
      <c r="L21">
        <v>0.1</v>
      </c>
      <c r="M21">
        <v>0.55555555555555558</v>
      </c>
      <c r="N21" s="178">
        <v>44724</v>
      </c>
      <c r="O21" t="s">
        <v>221</v>
      </c>
    </row>
    <row r="22" spans="1:15" x14ac:dyDescent="0.2">
      <c r="A22" t="s">
        <v>444</v>
      </c>
      <c r="B22" t="s">
        <v>48</v>
      </c>
      <c r="D22">
        <v>1</v>
      </c>
      <c r="E22" t="s">
        <v>612</v>
      </c>
      <c r="G22" t="s">
        <v>613</v>
      </c>
      <c r="H22">
        <v>6.64</v>
      </c>
      <c r="I22">
        <v>6.64</v>
      </c>
      <c r="J22">
        <v>0</v>
      </c>
      <c r="K22">
        <v>6.64</v>
      </c>
      <c r="L22">
        <v>0.1</v>
      </c>
      <c r="M22">
        <v>7.3777777777777773</v>
      </c>
      <c r="N22" s="178">
        <v>44763</v>
      </c>
      <c r="O22" t="s">
        <v>221</v>
      </c>
    </row>
    <row r="23" spans="1:15" x14ac:dyDescent="0.2">
      <c r="A23" t="s">
        <v>603</v>
      </c>
      <c r="B23" t="s">
        <v>6</v>
      </c>
      <c r="D23">
        <v>1</v>
      </c>
      <c r="E23" t="s">
        <v>23</v>
      </c>
      <c r="F23" t="s">
        <v>614</v>
      </c>
      <c r="G23" t="s">
        <v>615</v>
      </c>
      <c r="H23">
        <v>2846</v>
      </c>
      <c r="I23">
        <v>2846</v>
      </c>
      <c r="J23">
        <v>6.5000000000000002E-2</v>
      </c>
      <c r="K23">
        <v>3030.99</v>
      </c>
      <c r="L23">
        <v>0.1</v>
      </c>
      <c r="M23">
        <v>3367.7666666666664</v>
      </c>
      <c r="N23" s="178">
        <v>44782</v>
      </c>
      <c r="O23" t="s">
        <v>606</v>
      </c>
    </row>
    <row r="24" spans="1:15" x14ac:dyDescent="0.2">
      <c r="A24" t="s">
        <v>225</v>
      </c>
      <c r="B24" t="s">
        <v>5</v>
      </c>
      <c r="D24">
        <v>1</v>
      </c>
      <c r="E24" t="s">
        <v>23</v>
      </c>
      <c r="F24" t="s">
        <v>232</v>
      </c>
      <c r="G24" t="s">
        <v>233</v>
      </c>
      <c r="H24">
        <v>410.15</v>
      </c>
      <c r="I24">
        <v>410.15</v>
      </c>
      <c r="J24">
        <v>0</v>
      </c>
      <c r="K24">
        <v>410.15</v>
      </c>
      <c r="L24">
        <v>0.1</v>
      </c>
      <c r="M24">
        <v>455.72222222222217</v>
      </c>
      <c r="N24" s="178">
        <v>44355</v>
      </c>
      <c r="O24" t="s">
        <v>228</v>
      </c>
    </row>
    <row r="25" spans="1:15" x14ac:dyDescent="0.2">
      <c r="A25" t="s">
        <v>342</v>
      </c>
      <c r="B25" t="s">
        <v>19</v>
      </c>
      <c r="D25">
        <v>1</v>
      </c>
      <c r="E25" t="s">
        <v>23</v>
      </c>
      <c r="F25" t="s">
        <v>216</v>
      </c>
      <c r="G25" t="s">
        <v>346</v>
      </c>
      <c r="H25">
        <v>924.53</v>
      </c>
      <c r="I25">
        <v>924.53</v>
      </c>
      <c r="J25">
        <v>0</v>
      </c>
      <c r="K25">
        <v>924.53</v>
      </c>
      <c r="L25">
        <v>0.1</v>
      </c>
      <c r="M25">
        <v>1027.2555555555555</v>
      </c>
      <c r="N25" s="178">
        <v>44698</v>
      </c>
      <c r="O25" t="s">
        <v>345</v>
      </c>
    </row>
    <row r="26" spans="1:15" x14ac:dyDescent="0.2">
      <c r="A26" t="s">
        <v>485</v>
      </c>
      <c r="B26" t="s">
        <v>48</v>
      </c>
      <c r="D26">
        <v>1</v>
      </c>
      <c r="E26" t="s">
        <v>23</v>
      </c>
      <c r="F26" t="s">
        <v>493</v>
      </c>
      <c r="G26" t="s">
        <v>494</v>
      </c>
      <c r="H26">
        <v>78.3</v>
      </c>
      <c r="I26">
        <v>78.3</v>
      </c>
      <c r="J26">
        <v>0</v>
      </c>
      <c r="K26">
        <v>78.3</v>
      </c>
      <c r="L26">
        <v>0.1</v>
      </c>
      <c r="M26">
        <v>87</v>
      </c>
      <c r="N26" s="178">
        <v>44699</v>
      </c>
      <c r="O26" t="s">
        <v>221</v>
      </c>
    </row>
    <row r="27" spans="1:15" x14ac:dyDescent="0.2">
      <c r="A27" t="s">
        <v>485</v>
      </c>
      <c r="B27" t="s">
        <v>48</v>
      </c>
      <c r="D27">
        <v>1</v>
      </c>
      <c r="E27" t="s">
        <v>23</v>
      </c>
      <c r="F27" t="s">
        <v>497</v>
      </c>
      <c r="G27" t="s">
        <v>498</v>
      </c>
      <c r="H27">
        <v>82.13</v>
      </c>
      <c r="I27">
        <v>82.13</v>
      </c>
      <c r="J27">
        <v>0</v>
      </c>
      <c r="K27">
        <v>82.13</v>
      </c>
      <c r="L27">
        <v>0.1</v>
      </c>
      <c r="M27">
        <v>91.255555555555546</v>
      </c>
      <c r="N27" s="178">
        <v>44699</v>
      </c>
      <c r="O27" t="s">
        <v>221</v>
      </c>
    </row>
    <row r="28" spans="1:15" x14ac:dyDescent="0.2">
      <c r="A28" t="s">
        <v>283</v>
      </c>
      <c r="B28" t="s">
        <v>48</v>
      </c>
      <c r="D28">
        <v>1</v>
      </c>
      <c r="E28" t="s">
        <v>23</v>
      </c>
      <c r="F28" t="s">
        <v>288</v>
      </c>
      <c r="G28" t="s">
        <v>616</v>
      </c>
      <c r="H28">
        <v>52.83</v>
      </c>
      <c r="I28">
        <v>52.83</v>
      </c>
      <c r="J28">
        <v>0</v>
      </c>
      <c r="K28">
        <v>52.83</v>
      </c>
      <c r="L28">
        <v>0.1</v>
      </c>
      <c r="M28">
        <v>58.699999999999996</v>
      </c>
      <c r="N28" s="178">
        <v>44671</v>
      </c>
      <c r="O28" t="s">
        <v>283</v>
      </c>
    </row>
    <row r="29" spans="1:15" x14ac:dyDescent="0.2">
      <c r="A29" t="s">
        <v>187</v>
      </c>
      <c r="B29" t="s">
        <v>196</v>
      </c>
      <c r="D29">
        <v>1</v>
      </c>
      <c r="E29" t="s">
        <v>23</v>
      </c>
      <c r="F29" t="s">
        <v>329</v>
      </c>
      <c r="G29" t="s">
        <v>330</v>
      </c>
      <c r="H29">
        <v>22.17</v>
      </c>
      <c r="I29">
        <v>22.17</v>
      </c>
      <c r="J29">
        <v>0</v>
      </c>
      <c r="K29">
        <v>22.17</v>
      </c>
      <c r="L29">
        <v>0.1</v>
      </c>
      <c r="M29">
        <v>24.633333333333333</v>
      </c>
      <c r="N29" s="178">
        <v>44624</v>
      </c>
      <c r="O29" t="s">
        <v>187</v>
      </c>
    </row>
    <row r="30" spans="1:15" x14ac:dyDescent="0.2">
      <c r="A30" t="s">
        <v>187</v>
      </c>
      <c r="B30" t="s">
        <v>196</v>
      </c>
      <c r="D30">
        <v>1</v>
      </c>
      <c r="E30" t="s">
        <v>23</v>
      </c>
      <c r="F30" t="s">
        <v>327</v>
      </c>
      <c r="G30" t="s">
        <v>328</v>
      </c>
      <c r="H30">
        <v>22.17</v>
      </c>
      <c r="I30">
        <v>22.17</v>
      </c>
      <c r="J30">
        <v>0</v>
      </c>
      <c r="K30">
        <v>22.17</v>
      </c>
      <c r="L30">
        <v>0.1</v>
      </c>
      <c r="M30">
        <v>24.633333333333333</v>
      </c>
      <c r="N30" s="178">
        <v>44624</v>
      </c>
      <c r="O30" t="s">
        <v>187</v>
      </c>
    </row>
    <row r="31" spans="1:15" x14ac:dyDescent="0.2">
      <c r="A31" t="s">
        <v>359</v>
      </c>
      <c r="B31" t="s">
        <v>184</v>
      </c>
      <c r="D31">
        <v>1</v>
      </c>
      <c r="E31" t="s">
        <v>23</v>
      </c>
      <c r="F31" t="s">
        <v>382</v>
      </c>
      <c r="G31" t="s">
        <v>383</v>
      </c>
      <c r="H31">
        <v>3.48</v>
      </c>
      <c r="I31">
        <v>3.48</v>
      </c>
      <c r="J31">
        <v>0</v>
      </c>
      <c r="K31">
        <v>3.48</v>
      </c>
      <c r="L31">
        <v>0.1</v>
      </c>
      <c r="M31">
        <v>3.8666666666666667</v>
      </c>
      <c r="N31" s="178">
        <v>44671</v>
      </c>
      <c r="O31" t="s">
        <v>187</v>
      </c>
    </row>
    <row r="32" spans="1:15" x14ac:dyDescent="0.2">
      <c r="A32" t="s">
        <v>359</v>
      </c>
      <c r="B32" t="s">
        <v>48</v>
      </c>
      <c r="D32">
        <v>1</v>
      </c>
      <c r="E32" t="s">
        <v>23</v>
      </c>
      <c r="F32" t="s">
        <v>396</v>
      </c>
      <c r="G32" t="s">
        <v>397</v>
      </c>
      <c r="H32">
        <v>3.26</v>
      </c>
      <c r="I32">
        <v>3.26</v>
      </c>
      <c r="J32">
        <v>0</v>
      </c>
      <c r="K32">
        <v>3.26</v>
      </c>
      <c r="L32">
        <v>0.1</v>
      </c>
      <c r="M32">
        <v>3.6222222222222218</v>
      </c>
      <c r="N32" s="178">
        <v>44448</v>
      </c>
      <c r="O32" t="s">
        <v>187</v>
      </c>
    </row>
    <row r="33" spans="1:15" x14ac:dyDescent="0.2">
      <c r="A33" t="s">
        <v>359</v>
      </c>
      <c r="B33" t="s">
        <v>184</v>
      </c>
      <c r="D33">
        <v>1</v>
      </c>
      <c r="E33" t="s">
        <v>23</v>
      </c>
      <c r="F33" t="s">
        <v>368</v>
      </c>
      <c r="G33" t="s">
        <v>369</v>
      </c>
      <c r="H33">
        <v>3.58</v>
      </c>
      <c r="I33">
        <v>3.58</v>
      </c>
      <c r="J33">
        <v>0</v>
      </c>
      <c r="K33">
        <v>3.58</v>
      </c>
      <c r="L33">
        <v>0.1</v>
      </c>
      <c r="M33">
        <v>3.9777777777777779</v>
      </c>
      <c r="N33" s="178">
        <v>44730</v>
      </c>
      <c r="O33" t="s">
        <v>187</v>
      </c>
    </row>
    <row r="34" spans="1:15" x14ac:dyDescent="0.2">
      <c r="A34" t="s">
        <v>359</v>
      </c>
      <c r="B34" t="s">
        <v>48</v>
      </c>
      <c r="D34">
        <v>1</v>
      </c>
      <c r="E34" t="s">
        <v>23</v>
      </c>
      <c r="F34" t="s">
        <v>398</v>
      </c>
      <c r="G34" t="s">
        <v>399</v>
      </c>
      <c r="H34">
        <v>12.6</v>
      </c>
      <c r="I34">
        <v>12.6</v>
      </c>
      <c r="J34">
        <v>0</v>
      </c>
      <c r="K34">
        <v>12.6</v>
      </c>
      <c r="L34">
        <v>0.1</v>
      </c>
      <c r="M34">
        <v>14</v>
      </c>
      <c r="N34" s="178">
        <v>44448</v>
      </c>
      <c r="O34" t="s">
        <v>187</v>
      </c>
    </row>
    <row r="35" spans="1:15" x14ac:dyDescent="0.2">
      <c r="A35" t="s">
        <v>359</v>
      </c>
      <c r="B35" t="s">
        <v>184</v>
      </c>
      <c r="D35">
        <v>1</v>
      </c>
      <c r="E35" t="s">
        <v>23</v>
      </c>
      <c r="F35" t="s">
        <v>384</v>
      </c>
      <c r="G35" t="s">
        <v>385</v>
      </c>
      <c r="H35">
        <v>13.41</v>
      </c>
      <c r="I35">
        <v>13.41</v>
      </c>
      <c r="J35">
        <v>0</v>
      </c>
      <c r="K35">
        <v>13.41</v>
      </c>
      <c r="L35">
        <v>0.1</v>
      </c>
      <c r="M35">
        <v>14.9</v>
      </c>
      <c r="N35" s="178">
        <v>44671</v>
      </c>
      <c r="O35" t="s">
        <v>187</v>
      </c>
    </row>
    <row r="36" spans="1:15" x14ac:dyDescent="0.2">
      <c r="A36" t="s">
        <v>359</v>
      </c>
      <c r="B36" t="s">
        <v>184</v>
      </c>
      <c r="D36">
        <v>1</v>
      </c>
      <c r="E36" t="s">
        <v>23</v>
      </c>
      <c r="F36" t="s">
        <v>617</v>
      </c>
      <c r="G36" t="s">
        <v>618</v>
      </c>
      <c r="H36">
        <v>46.61</v>
      </c>
      <c r="I36">
        <v>46.61</v>
      </c>
      <c r="J36">
        <v>0</v>
      </c>
      <c r="K36">
        <v>46.61</v>
      </c>
      <c r="L36">
        <v>0.1</v>
      </c>
      <c r="M36">
        <v>51.788888888888884</v>
      </c>
      <c r="N36" s="178">
        <v>44723</v>
      </c>
      <c r="O36" t="s">
        <v>187</v>
      </c>
    </row>
    <row r="37" spans="1:15" x14ac:dyDescent="0.2">
      <c r="A37" t="s">
        <v>485</v>
      </c>
      <c r="B37" t="s">
        <v>591</v>
      </c>
      <c r="D37">
        <v>1</v>
      </c>
      <c r="E37" t="s">
        <v>23</v>
      </c>
      <c r="F37" t="s">
        <v>619</v>
      </c>
      <c r="G37" t="s">
        <v>620</v>
      </c>
      <c r="H37">
        <v>60.93</v>
      </c>
      <c r="I37">
        <v>60.93</v>
      </c>
      <c r="J37">
        <v>0</v>
      </c>
      <c r="K37">
        <v>60.93</v>
      </c>
      <c r="L37">
        <v>0.1</v>
      </c>
      <c r="M37">
        <v>67.7</v>
      </c>
      <c r="N37" s="178">
        <v>44730</v>
      </c>
      <c r="O37" t="s">
        <v>221</v>
      </c>
    </row>
    <row r="38" spans="1:15" x14ac:dyDescent="0.2">
      <c r="A38" t="s">
        <v>485</v>
      </c>
      <c r="B38" t="s">
        <v>591</v>
      </c>
      <c r="D38">
        <v>1</v>
      </c>
      <c r="E38" t="s">
        <v>23</v>
      </c>
      <c r="F38" t="s">
        <v>621</v>
      </c>
      <c r="G38" t="s">
        <v>622</v>
      </c>
      <c r="H38">
        <v>35.9</v>
      </c>
      <c r="I38">
        <v>35.9</v>
      </c>
      <c r="J38">
        <v>0</v>
      </c>
      <c r="K38">
        <v>35.9</v>
      </c>
      <c r="L38">
        <v>0.1</v>
      </c>
      <c r="M38">
        <v>39.888888888888886</v>
      </c>
      <c r="N38" s="178">
        <v>44730</v>
      </c>
      <c r="O38" t="s">
        <v>221</v>
      </c>
    </row>
    <row r="39" spans="1:15" x14ac:dyDescent="0.2">
      <c r="A39" t="s">
        <v>187</v>
      </c>
      <c r="B39" t="s">
        <v>97</v>
      </c>
      <c r="D39">
        <v>1</v>
      </c>
      <c r="E39" t="s">
        <v>23</v>
      </c>
      <c r="F39" t="s">
        <v>333</v>
      </c>
      <c r="G39" t="s">
        <v>334</v>
      </c>
      <c r="H39">
        <v>87.68</v>
      </c>
      <c r="I39">
        <v>87.68</v>
      </c>
      <c r="J39">
        <v>0</v>
      </c>
      <c r="K39">
        <v>87.68</v>
      </c>
      <c r="L39">
        <v>0.1</v>
      </c>
      <c r="M39">
        <v>97.422222222222231</v>
      </c>
      <c r="N39" s="178">
        <v>44624</v>
      </c>
      <c r="O39" t="s">
        <v>187</v>
      </c>
    </row>
    <row r="40" spans="1:15" x14ac:dyDescent="0.2">
      <c r="A40" t="s">
        <v>222</v>
      </c>
      <c r="B40" t="s">
        <v>196</v>
      </c>
      <c r="D40">
        <v>1</v>
      </c>
      <c r="E40" t="s">
        <v>23</v>
      </c>
      <c r="F40" t="s">
        <v>223</v>
      </c>
      <c r="G40" t="s">
        <v>224</v>
      </c>
      <c r="H40">
        <v>61.22</v>
      </c>
      <c r="I40">
        <v>61.22</v>
      </c>
      <c r="J40">
        <v>0</v>
      </c>
      <c r="K40">
        <v>61.22</v>
      </c>
      <c r="L40">
        <v>0.1</v>
      </c>
      <c r="M40">
        <v>68.022222222222226</v>
      </c>
      <c r="N40" s="178">
        <v>44624</v>
      </c>
      <c r="O40" t="s">
        <v>187</v>
      </c>
    </row>
    <row r="41" spans="1:15" x14ac:dyDescent="0.2">
      <c r="A41" t="s">
        <v>405</v>
      </c>
      <c r="B41" t="s">
        <v>196</v>
      </c>
      <c r="D41">
        <v>1</v>
      </c>
      <c r="E41" t="s">
        <v>23</v>
      </c>
      <c r="F41" t="s">
        <v>623</v>
      </c>
      <c r="G41" t="s">
        <v>624</v>
      </c>
      <c r="H41">
        <v>383.48</v>
      </c>
      <c r="I41">
        <v>383.48</v>
      </c>
      <c r="J41">
        <v>0</v>
      </c>
      <c r="K41">
        <v>383.48</v>
      </c>
      <c r="L41">
        <v>0.1</v>
      </c>
      <c r="M41">
        <v>426.0888888888889</v>
      </c>
      <c r="N41" s="178">
        <v>44740</v>
      </c>
      <c r="O41" t="s">
        <v>221</v>
      </c>
    </row>
    <row r="42" spans="1:15" x14ac:dyDescent="0.2">
      <c r="A42" t="s">
        <v>405</v>
      </c>
      <c r="B42" t="s">
        <v>196</v>
      </c>
      <c r="D42">
        <v>1</v>
      </c>
      <c r="E42" t="s">
        <v>23</v>
      </c>
      <c r="F42" t="s">
        <v>625</v>
      </c>
      <c r="G42" t="s">
        <v>626</v>
      </c>
      <c r="H42">
        <v>383.22</v>
      </c>
      <c r="I42">
        <v>383.22</v>
      </c>
      <c r="J42">
        <v>0</v>
      </c>
      <c r="K42">
        <v>383.22</v>
      </c>
      <c r="L42">
        <v>0.1</v>
      </c>
      <c r="M42">
        <v>425.8</v>
      </c>
      <c r="N42" s="178">
        <v>44740</v>
      </c>
      <c r="O42" t="s">
        <v>221</v>
      </c>
    </row>
    <row r="43" spans="1:15" x14ac:dyDescent="0.2">
      <c r="A43" t="s">
        <v>405</v>
      </c>
      <c r="B43" t="s">
        <v>196</v>
      </c>
      <c r="D43">
        <v>1</v>
      </c>
      <c r="E43" t="s">
        <v>23</v>
      </c>
      <c r="F43" t="s">
        <v>627</v>
      </c>
      <c r="G43" t="s">
        <v>628</v>
      </c>
      <c r="H43">
        <v>330.22</v>
      </c>
      <c r="I43">
        <v>330.22</v>
      </c>
      <c r="J43">
        <v>0</v>
      </c>
      <c r="K43">
        <v>330.22</v>
      </c>
      <c r="L43">
        <v>0.1</v>
      </c>
      <c r="M43">
        <v>366.91111111111115</v>
      </c>
      <c r="N43" s="178">
        <v>44740</v>
      </c>
      <c r="O43" t="s">
        <v>221</v>
      </c>
    </row>
    <row r="44" spans="1:15" x14ac:dyDescent="0.2">
      <c r="A44" t="s">
        <v>405</v>
      </c>
      <c r="B44" t="s">
        <v>196</v>
      </c>
      <c r="D44">
        <v>1</v>
      </c>
      <c r="E44" t="s">
        <v>23</v>
      </c>
      <c r="F44" t="s">
        <v>629</v>
      </c>
      <c r="G44" t="s">
        <v>630</v>
      </c>
      <c r="H44">
        <v>330.22</v>
      </c>
      <c r="I44">
        <v>330.22</v>
      </c>
      <c r="J44">
        <v>0</v>
      </c>
      <c r="K44">
        <v>330.22</v>
      </c>
      <c r="L44">
        <v>0.1</v>
      </c>
      <c r="M44">
        <v>366.91111111111115</v>
      </c>
      <c r="N44" s="178">
        <v>44740</v>
      </c>
      <c r="O44" t="s">
        <v>221</v>
      </c>
    </row>
    <row r="45" spans="1:15" x14ac:dyDescent="0.2">
      <c r="A45" t="s">
        <v>444</v>
      </c>
      <c r="B45" t="s">
        <v>48</v>
      </c>
      <c r="D45">
        <v>1</v>
      </c>
      <c r="E45" t="s">
        <v>23</v>
      </c>
      <c r="F45" t="s">
        <v>631</v>
      </c>
      <c r="G45" t="s">
        <v>632</v>
      </c>
      <c r="H45">
        <v>1.25</v>
      </c>
      <c r="I45">
        <v>1.25</v>
      </c>
      <c r="J45">
        <v>0</v>
      </c>
      <c r="K45">
        <v>1.25</v>
      </c>
      <c r="L45">
        <v>0.1</v>
      </c>
      <c r="M45">
        <v>1.3888888888888888</v>
      </c>
      <c r="N45" s="178">
        <v>44763</v>
      </c>
      <c r="O45" t="s">
        <v>221</v>
      </c>
    </row>
    <row r="46" spans="1:15" x14ac:dyDescent="0.2">
      <c r="A46" t="s">
        <v>444</v>
      </c>
      <c r="B46" t="s">
        <v>48</v>
      </c>
      <c r="D46">
        <v>1</v>
      </c>
      <c r="E46" t="s">
        <v>612</v>
      </c>
      <c r="G46" t="s">
        <v>633</v>
      </c>
      <c r="H46">
        <v>2.54</v>
      </c>
      <c r="I46">
        <v>2.54</v>
      </c>
      <c r="J46">
        <v>0</v>
      </c>
      <c r="K46">
        <v>2.54</v>
      </c>
      <c r="L46">
        <v>0.1</v>
      </c>
      <c r="M46">
        <v>2.8222222222222224</v>
      </c>
      <c r="N46" s="178">
        <v>44763</v>
      </c>
      <c r="O46" t="s">
        <v>221</v>
      </c>
    </row>
    <row r="47" spans="1:15" x14ac:dyDescent="0.2">
      <c r="A47" t="s">
        <v>456</v>
      </c>
      <c r="B47" t="s">
        <v>6</v>
      </c>
      <c r="D47">
        <v>1</v>
      </c>
      <c r="E47" t="s">
        <v>23</v>
      </c>
      <c r="F47" t="s">
        <v>634</v>
      </c>
      <c r="G47" t="s">
        <v>635</v>
      </c>
      <c r="H47">
        <v>7828.28</v>
      </c>
      <c r="I47">
        <v>7828.28</v>
      </c>
      <c r="J47">
        <v>0</v>
      </c>
      <c r="K47">
        <v>7828.28</v>
      </c>
      <c r="L47">
        <v>0.1</v>
      </c>
      <c r="M47">
        <v>8698.0888888888876</v>
      </c>
      <c r="N47" s="178">
        <v>44724</v>
      </c>
      <c r="O47" t="s">
        <v>456</v>
      </c>
    </row>
    <row r="48" spans="1:15" x14ac:dyDescent="0.2">
      <c r="A48" t="s">
        <v>253</v>
      </c>
      <c r="B48" t="s">
        <v>5</v>
      </c>
      <c r="D48">
        <v>1</v>
      </c>
      <c r="E48" t="s">
        <v>23</v>
      </c>
      <c r="G48" t="s">
        <v>275</v>
      </c>
      <c r="H48">
        <v>0.97</v>
      </c>
      <c r="I48">
        <v>0.97</v>
      </c>
      <c r="J48">
        <v>0.1</v>
      </c>
      <c r="K48">
        <v>1.0669999999999999</v>
      </c>
      <c r="L48">
        <v>0.1</v>
      </c>
      <c r="M48">
        <v>1.1855555555555555</v>
      </c>
      <c r="N48" s="178">
        <v>44671</v>
      </c>
      <c r="O48" t="s">
        <v>221</v>
      </c>
    </row>
    <row r="49" spans="1:16" x14ac:dyDescent="0.2">
      <c r="A49" t="s">
        <v>253</v>
      </c>
      <c r="B49" t="s">
        <v>5</v>
      </c>
      <c r="D49">
        <v>1</v>
      </c>
      <c r="E49" t="s">
        <v>23</v>
      </c>
      <c r="G49" t="s">
        <v>276</v>
      </c>
      <c r="H49">
        <v>0.97</v>
      </c>
      <c r="I49">
        <v>0.97</v>
      </c>
      <c r="J49">
        <v>0.1</v>
      </c>
      <c r="K49">
        <v>1.0669999999999999</v>
      </c>
      <c r="L49">
        <v>0.1</v>
      </c>
      <c r="M49">
        <v>1.1855555555555555</v>
      </c>
      <c r="N49" s="178">
        <v>44671</v>
      </c>
      <c r="O49" t="s">
        <v>221</v>
      </c>
    </row>
    <row r="50" spans="1:16" x14ac:dyDescent="0.2">
      <c r="A50" t="s">
        <v>444</v>
      </c>
      <c r="B50" t="s">
        <v>5</v>
      </c>
      <c r="D50">
        <v>1</v>
      </c>
      <c r="E50" t="s">
        <v>23</v>
      </c>
      <c r="G50" t="s">
        <v>454</v>
      </c>
      <c r="H50">
        <v>178.23</v>
      </c>
      <c r="I50">
        <v>178.23</v>
      </c>
      <c r="J50">
        <v>0.1</v>
      </c>
      <c r="K50">
        <v>196.053</v>
      </c>
      <c r="L50">
        <v>0.1</v>
      </c>
      <c r="M50">
        <v>217.83666666666664</v>
      </c>
      <c r="N50" s="178">
        <v>44671</v>
      </c>
      <c r="O50" t="s">
        <v>221</v>
      </c>
    </row>
    <row r="51" spans="1:16" x14ac:dyDescent="0.2">
      <c r="A51" t="s">
        <v>253</v>
      </c>
      <c r="B51" t="s">
        <v>5</v>
      </c>
      <c r="D51">
        <v>1</v>
      </c>
      <c r="E51" t="s">
        <v>23</v>
      </c>
      <c r="F51" t="s">
        <v>122</v>
      </c>
      <c r="G51" t="s">
        <v>636</v>
      </c>
      <c r="H51">
        <v>82</v>
      </c>
      <c r="I51">
        <v>82</v>
      </c>
      <c r="J51">
        <v>0</v>
      </c>
      <c r="K51">
        <v>82</v>
      </c>
      <c r="L51">
        <v>0.1</v>
      </c>
      <c r="M51">
        <v>91.111111111111114</v>
      </c>
      <c r="N51" s="178">
        <v>44740</v>
      </c>
      <c r="O51" t="s">
        <v>221</v>
      </c>
    </row>
    <row r="52" spans="1:16" x14ac:dyDescent="0.2">
      <c r="A52" t="s">
        <v>253</v>
      </c>
      <c r="B52" t="s">
        <v>5</v>
      </c>
      <c r="D52">
        <v>1</v>
      </c>
      <c r="E52" t="s">
        <v>23</v>
      </c>
      <c r="G52" t="s">
        <v>637</v>
      </c>
      <c r="H52">
        <v>82</v>
      </c>
      <c r="I52">
        <v>82</v>
      </c>
      <c r="J52">
        <v>0</v>
      </c>
      <c r="K52">
        <v>82</v>
      </c>
      <c r="L52">
        <v>0.1</v>
      </c>
      <c r="M52">
        <v>91.111111111111114</v>
      </c>
      <c r="N52" s="178">
        <v>44740</v>
      </c>
      <c r="O52" t="s">
        <v>221</v>
      </c>
    </row>
    <row r="53" spans="1:16" x14ac:dyDescent="0.2">
      <c r="A53" t="s">
        <v>244</v>
      </c>
      <c r="B53" t="s">
        <v>6</v>
      </c>
      <c r="D53">
        <v>1</v>
      </c>
      <c r="E53" t="s">
        <v>23</v>
      </c>
      <c r="F53" t="s">
        <v>245</v>
      </c>
      <c r="G53" t="s">
        <v>246</v>
      </c>
      <c r="H53">
        <v>140.13999999999999</v>
      </c>
      <c r="I53">
        <v>140.13999999999999</v>
      </c>
      <c r="J53">
        <v>0.15</v>
      </c>
      <c r="K53">
        <v>161.16099999999997</v>
      </c>
      <c r="L53">
        <v>0.1</v>
      </c>
      <c r="M53">
        <v>179.06777777777774</v>
      </c>
      <c r="N53" s="178">
        <v>44614</v>
      </c>
      <c r="O53" t="s">
        <v>244</v>
      </c>
    </row>
    <row r="54" spans="1:16" x14ac:dyDescent="0.2">
      <c r="A54" t="s">
        <v>444</v>
      </c>
      <c r="B54" t="s">
        <v>5</v>
      </c>
      <c r="D54">
        <v>1</v>
      </c>
      <c r="E54" t="s">
        <v>23</v>
      </c>
      <c r="F54" t="s">
        <v>445</v>
      </c>
      <c r="G54" t="s">
        <v>446</v>
      </c>
      <c r="H54">
        <v>4.45</v>
      </c>
      <c r="I54">
        <v>4.45</v>
      </c>
      <c r="J54">
        <v>0.1</v>
      </c>
      <c r="K54">
        <v>4.8950000000000005</v>
      </c>
      <c r="L54">
        <v>0.1</v>
      </c>
      <c r="M54">
        <v>5.4388888888888891</v>
      </c>
      <c r="N54" s="178">
        <v>44671</v>
      </c>
      <c r="O54" t="s">
        <v>221</v>
      </c>
    </row>
    <row r="55" spans="1:16" x14ac:dyDescent="0.2">
      <c r="A55" t="s">
        <v>456</v>
      </c>
      <c r="B55" t="s">
        <v>5</v>
      </c>
      <c r="D55">
        <v>1</v>
      </c>
      <c r="E55" t="s">
        <v>23</v>
      </c>
      <c r="F55" t="s">
        <v>638</v>
      </c>
      <c r="G55" t="s">
        <v>639</v>
      </c>
      <c r="H55">
        <v>321.39999999999998</v>
      </c>
      <c r="I55">
        <v>321.39999999999998</v>
      </c>
      <c r="J55">
        <v>0</v>
      </c>
      <c r="K55">
        <v>321.39999999999998</v>
      </c>
      <c r="L55">
        <v>0.1</v>
      </c>
      <c r="M55">
        <v>357.11111111111109</v>
      </c>
      <c r="N55" s="178">
        <v>44822</v>
      </c>
      <c r="O55" t="s">
        <v>456</v>
      </c>
    </row>
    <row r="56" spans="1:16" x14ac:dyDescent="0.2">
      <c r="A56" t="s">
        <v>444</v>
      </c>
      <c r="B56" t="s">
        <v>48</v>
      </c>
      <c r="D56">
        <v>1</v>
      </c>
      <c r="E56" t="s">
        <v>640</v>
      </c>
      <c r="G56" t="s">
        <v>641</v>
      </c>
      <c r="H56">
        <v>4.2699999999999996</v>
      </c>
      <c r="I56">
        <v>4.2699999999999996</v>
      </c>
      <c r="J56">
        <v>0</v>
      </c>
      <c r="K56">
        <v>4.2699999999999996</v>
      </c>
      <c r="L56">
        <v>0.1</v>
      </c>
      <c r="M56">
        <v>4.7444444444444436</v>
      </c>
      <c r="N56" s="178">
        <v>44730</v>
      </c>
      <c r="O56" t="s">
        <v>221</v>
      </c>
    </row>
    <row r="57" spans="1:16" x14ac:dyDescent="0.2">
      <c r="A57" t="s">
        <v>444</v>
      </c>
      <c r="B57" t="s">
        <v>48</v>
      </c>
      <c r="D57">
        <v>1</v>
      </c>
      <c r="E57" t="s">
        <v>640</v>
      </c>
      <c r="G57" t="s">
        <v>642</v>
      </c>
      <c r="H57">
        <v>5.46</v>
      </c>
      <c r="I57">
        <v>5.46</v>
      </c>
      <c r="J57">
        <v>0</v>
      </c>
      <c r="K57">
        <v>5.46</v>
      </c>
      <c r="L57">
        <v>0.1</v>
      </c>
      <c r="M57">
        <v>6.0666666666666664</v>
      </c>
      <c r="N57" s="178">
        <v>44730</v>
      </c>
      <c r="O57" t="s">
        <v>221</v>
      </c>
    </row>
    <row r="58" spans="1:16" x14ac:dyDescent="0.2">
      <c r="A58" t="s">
        <v>308</v>
      </c>
      <c r="B58" t="s">
        <v>48</v>
      </c>
      <c r="D58">
        <v>1</v>
      </c>
      <c r="E58" t="s">
        <v>23</v>
      </c>
      <c r="F58" t="s">
        <v>309</v>
      </c>
      <c r="G58" t="s">
        <v>310</v>
      </c>
      <c r="H58">
        <v>15.32</v>
      </c>
      <c r="I58">
        <v>15.32</v>
      </c>
      <c r="J58">
        <v>0</v>
      </c>
      <c r="K58">
        <v>15.32</v>
      </c>
      <c r="L58">
        <v>0.1</v>
      </c>
      <c r="M58">
        <v>17.022222222222222</v>
      </c>
      <c r="N58" s="178">
        <v>44582</v>
      </c>
      <c r="O58" t="s">
        <v>252</v>
      </c>
    </row>
    <row r="59" spans="1:16" x14ac:dyDescent="0.2">
      <c r="A59" t="s">
        <v>444</v>
      </c>
      <c r="B59" t="s">
        <v>5</v>
      </c>
      <c r="D59">
        <v>1</v>
      </c>
      <c r="E59" t="s">
        <v>23</v>
      </c>
      <c r="F59" t="s">
        <v>447</v>
      </c>
      <c r="G59" t="s">
        <v>448</v>
      </c>
      <c r="H59">
        <v>7.79</v>
      </c>
      <c r="I59">
        <v>7.79</v>
      </c>
      <c r="J59">
        <v>0.1</v>
      </c>
      <c r="K59">
        <v>8.5690000000000008</v>
      </c>
      <c r="L59">
        <v>0.1</v>
      </c>
      <c r="M59">
        <v>9.5211111111111126</v>
      </c>
      <c r="N59" s="178">
        <v>44671</v>
      </c>
      <c r="O59" t="s">
        <v>221</v>
      </c>
    </row>
    <row r="60" spans="1:16" x14ac:dyDescent="0.2">
      <c r="A60" t="s">
        <v>444</v>
      </c>
      <c r="B60" t="s">
        <v>5</v>
      </c>
      <c r="D60">
        <v>1</v>
      </c>
      <c r="E60" t="s">
        <v>23</v>
      </c>
      <c r="F60" t="s">
        <v>449</v>
      </c>
      <c r="G60" t="s">
        <v>450</v>
      </c>
      <c r="H60">
        <v>44.1</v>
      </c>
      <c r="I60">
        <v>44.1</v>
      </c>
      <c r="J60">
        <v>0.1</v>
      </c>
      <c r="K60">
        <v>48.510000000000005</v>
      </c>
      <c r="L60">
        <v>0.1</v>
      </c>
      <c r="M60">
        <v>53.900000000000006</v>
      </c>
      <c r="N60" s="178">
        <v>44671</v>
      </c>
      <c r="O60" t="s">
        <v>221</v>
      </c>
    </row>
    <row r="61" spans="1:16" x14ac:dyDescent="0.2">
      <c r="A61" t="s">
        <v>444</v>
      </c>
      <c r="B61" t="s">
        <v>48</v>
      </c>
      <c r="D61">
        <v>1</v>
      </c>
      <c r="E61" t="s">
        <v>23</v>
      </c>
      <c r="G61" t="s">
        <v>643</v>
      </c>
      <c r="H61">
        <v>8.34</v>
      </c>
      <c r="I61">
        <v>8.34</v>
      </c>
      <c r="J61">
        <v>0</v>
      </c>
      <c r="K61">
        <v>8.34</v>
      </c>
      <c r="L61">
        <v>0.1</v>
      </c>
      <c r="M61">
        <v>9.2666666666666657</v>
      </c>
      <c r="N61" s="178">
        <v>44851</v>
      </c>
      <c r="O61" t="s">
        <v>221</v>
      </c>
      <c r="P61">
        <v>85444900</v>
      </c>
    </row>
    <row r="62" spans="1:16" x14ac:dyDescent="0.2">
      <c r="A62" t="s">
        <v>456</v>
      </c>
      <c r="B62" t="s">
        <v>6</v>
      </c>
      <c r="D62">
        <v>1</v>
      </c>
      <c r="E62" t="s">
        <v>23</v>
      </c>
      <c r="F62" t="s">
        <v>644</v>
      </c>
      <c r="G62" t="s">
        <v>645</v>
      </c>
      <c r="H62">
        <v>665.75</v>
      </c>
      <c r="I62">
        <v>665.75</v>
      </c>
      <c r="J62">
        <v>0</v>
      </c>
      <c r="K62">
        <v>665.75</v>
      </c>
      <c r="L62">
        <v>0.1</v>
      </c>
      <c r="M62">
        <v>739.72222222222217</v>
      </c>
      <c r="N62" s="178">
        <v>44724</v>
      </c>
      <c r="O62" t="s">
        <v>456</v>
      </c>
    </row>
    <row r="63" spans="1:16" x14ac:dyDescent="0.2">
      <c r="A63" t="s">
        <v>456</v>
      </c>
      <c r="B63" t="s">
        <v>50</v>
      </c>
      <c r="D63">
        <v>1</v>
      </c>
      <c r="E63" t="s">
        <v>23</v>
      </c>
      <c r="F63" t="s">
        <v>646</v>
      </c>
      <c r="G63" t="s">
        <v>647</v>
      </c>
      <c r="H63">
        <v>346.26</v>
      </c>
      <c r="I63">
        <v>346.26</v>
      </c>
      <c r="J63">
        <v>9.7500000000000003E-2</v>
      </c>
      <c r="K63">
        <v>380.02035000000001</v>
      </c>
      <c r="L63">
        <v>0.1</v>
      </c>
      <c r="M63">
        <v>422.2448333333333</v>
      </c>
      <c r="N63" s="178">
        <v>44782</v>
      </c>
      <c r="O63" t="s">
        <v>456</v>
      </c>
    </row>
    <row r="64" spans="1:16" x14ac:dyDescent="0.2">
      <c r="A64" t="s">
        <v>456</v>
      </c>
      <c r="B64" t="s">
        <v>7</v>
      </c>
      <c r="D64">
        <v>1</v>
      </c>
      <c r="E64" t="s">
        <v>23</v>
      </c>
      <c r="F64" t="s">
        <v>458</v>
      </c>
      <c r="G64" t="s">
        <v>459</v>
      </c>
      <c r="H64">
        <v>642.79</v>
      </c>
      <c r="I64">
        <v>642.79</v>
      </c>
      <c r="J64">
        <v>0</v>
      </c>
      <c r="K64">
        <v>642.79</v>
      </c>
      <c r="L64">
        <v>0.1</v>
      </c>
      <c r="M64">
        <v>714.21111111111111</v>
      </c>
      <c r="N64" s="178">
        <v>44310</v>
      </c>
      <c r="O64" t="s">
        <v>456</v>
      </c>
    </row>
    <row r="65" spans="1:15" x14ac:dyDescent="0.2">
      <c r="A65" t="s">
        <v>456</v>
      </c>
      <c r="B65" t="s">
        <v>6</v>
      </c>
      <c r="D65">
        <v>1</v>
      </c>
      <c r="E65" t="s">
        <v>23</v>
      </c>
      <c r="F65" t="s">
        <v>648</v>
      </c>
      <c r="G65" t="s">
        <v>649</v>
      </c>
      <c r="H65">
        <v>619.83000000000004</v>
      </c>
      <c r="I65">
        <v>619.83000000000004</v>
      </c>
      <c r="J65">
        <v>0</v>
      </c>
      <c r="K65">
        <v>619.83000000000004</v>
      </c>
      <c r="L65">
        <v>0.1</v>
      </c>
      <c r="M65">
        <v>688.7</v>
      </c>
      <c r="N65" s="178">
        <v>44724</v>
      </c>
      <c r="O65" t="s">
        <v>456</v>
      </c>
    </row>
    <row r="66" spans="1:15" x14ac:dyDescent="0.2">
      <c r="A66" t="s">
        <v>588</v>
      </c>
      <c r="B66" t="s">
        <v>650</v>
      </c>
      <c r="D66">
        <v>1</v>
      </c>
      <c r="E66" t="s">
        <v>23</v>
      </c>
      <c r="F66" t="s">
        <v>651</v>
      </c>
      <c r="G66" t="s">
        <v>652</v>
      </c>
      <c r="H66">
        <v>94.2</v>
      </c>
      <c r="I66">
        <v>94.2</v>
      </c>
      <c r="J66">
        <v>0</v>
      </c>
      <c r="K66">
        <v>94.2</v>
      </c>
      <c r="L66">
        <v>0.1</v>
      </c>
      <c r="M66">
        <v>104.66666666666667</v>
      </c>
      <c r="N66" s="178">
        <v>44778</v>
      </c>
      <c r="O66" t="s">
        <v>588</v>
      </c>
    </row>
    <row r="67" spans="1:15" x14ac:dyDescent="0.2">
      <c r="A67" t="s">
        <v>456</v>
      </c>
      <c r="B67" t="s">
        <v>50</v>
      </c>
      <c r="D67">
        <v>1</v>
      </c>
      <c r="E67" t="s">
        <v>23</v>
      </c>
      <c r="F67" t="s">
        <v>653</v>
      </c>
      <c r="G67" t="s">
        <v>654</v>
      </c>
      <c r="H67">
        <v>533.41999999999996</v>
      </c>
      <c r="I67">
        <v>533.41999999999996</v>
      </c>
      <c r="J67">
        <v>9.7500000000000003E-2</v>
      </c>
      <c r="K67">
        <v>585.42845</v>
      </c>
      <c r="L67">
        <v>0.1</v>
      </c>
      <c r="M67">
        <v>650.47605555555549</v>
      </c>
      <c r="N67" s="178">
        <v>44782</v>
      </c>
      <c r="O67" t="s">
        <v>456</v>
      </c>
    </row>
    <row r="68" spans="1:15" x14ac:dyDescent="0.2">
      <c r="A68" t="s">
        <v>456</v>
      </c>
      <c r="B68" t="s">
        <v>5</v>
      </c>
      <c r="D68">
        <v>1</v>
      </c>
      <c r="E68" t="s">
        <v>23</v>
      </c>
      <c r="F68" t="s">
        <v>655</v>
      </c>
      <c r="G68" t="s">
        <v>656</v>
      </c>
      <c r="H68">
        <v>642.79</v>
      </c>
      <c r="I68">
        <v>642.79</v>
      </c>
      <c r="J68">
        <v>0</v>
      </c>
      <c r="K68">
        <v>642.79</v>
      </c>
      <c r="L68">
        <v>0.1</v>
      </c>
      <c r="M68">
        <v>714.21111111111111</v>
      </c>
      <c r="N68" s="178">
        <v>44822</v>
      </c>
      <c r="O68" t="s">
        <v>456</v>
      </c>
    </row>
    <row r="69" spans="1:15" x14ac:dyDescent="0.2">
      <c r="A69" t="s">
        <v>456</v>
      </c>
      <c r="B69" t="s">
        <v>50</v>
      </c>
      <c r="D69">
        <v>1</v>
      </c>
      <c r="E69" t="s">
        <v>23</v>
      </c>
      <c r="F69" t="s">
        <v>657</v>
      </c>
      <c r="G69" t="s">
        <v>658</v>
      </c>
      <c r="H69">
        <v>648.54999999999995</v>
      </c>
      <c r="I69">
        <v>648.54999999999995</v>
      </c>
      <c r="J69">
        <v>9.7500000000000003E-2</v>
      </c>
      <c r="K69">
        <v>711.78362499999992</v>
      </c>
      <c r="L69">
        <v>0.1</v>
      </c>
      <c r="M69">
        <v>790.87069444444433</v>
      </c>
      <c r="N69" s="178">
        <v>44782</v>
      </c>
      <c r="O69" t="s">
        <v>456</v>
      </c>
    </row>
    <row r="70" spans="1:15" x14ac:dyDescent="0.2">
      <c r="A70" t="s">
        <v>456</v>
      </c>
      <c r="B70" t="s">
        <v>7</v>
      </c>
      <c r="D70">
        <v>1</v>
      </c>
      <c r="E70" t="s">
        <v>23</v>
      </c>
      <c r="F70" t="s">
        <v>460</v>
      </c>
      <c r="G70" t="s">
        <v>461</v>
      </c>
      <c r="H70">
        <v>1434.8</v>
      </c>
      <c r="I70">
        <v>1434.8</v>
      </c>
      <c r="J70">
        <v>0</v>
      </c>
      <c r="K70">
        <v>1434.8</v>
      </c>
      <c r="L70">
        <v>0.1</v>
      </c>
      <c r="M70">
        <v>1594.2222222222222</v>
      </c>
      <c r="N70" s="178">
        <v>44310</v>
      </c>
      <c r="O70" t="s">
        <v>456</v>
      </c>
    </row>
    <row r="71" spans="1:15" x14ac:dyDescent="0.2">
      <c r="A71" t="s">
        <v>485</v>
      </c>
      <c r="B71" t="s">
        <v>19</v>
      </c>
      <c r="D71">
        <v>1</v>
      </c>
      <c r="E71" t="s">
        <v>23</v>
      </c>
      <c r="F71" t="s">
        <v>659</v>
      </c>
      <c r="G71" t="s">
        <v>660</v>
      </c>
      <c r="H71">
        <v>617.94000000000005</v>
      </c>
      <c r="I71">
        <v>617.94000000000005</v>
      </c>
      <c r="J71">
        <v>0</v>
      </c>
      <c r="K71">
        <v>617.94000000000005</v>
      </c>
      <c r="L71">
        <v>0.1</v>
      </c>
      <c r="M71">
        <v>686.6</v>
      </c>
      <c r="N71" s="178">
        <v>44823</v>
      </c>
      <c r="O71" t="s">
        <v>221</v>
      </c>
    </row>
    <row r="72" spans="1:15" x14ac:dyDescent="0.2">
      <c r="A72" t="s">
        <v>253</v>
      </c>
      <c r="B72" t="s">
        <v>48</v>
      </c>
      <c r="D72">
        <v>1</v>
      </c>
      <c r="E72" t="s">
        <v>640</v>
      </c>
      <c r="F72" t="s">
        <v>257</v>
      </c>
      <c r="G72" t="s">
        <v>258</v>
      </c>
      <c r="H72">
        <v>0.68</v>
      </c>
      <c r="I72">
        <v>0.68</v>
      </c>
      <c r="J72">
        <v>0</v>
      </c>
      <c r="K72">
        <v>0.68</v>
      </c>
      <c r="L72">
        <v>0.1</v>
      </c>
      <c r="M72">
        <v>0.75555555555555554</v>
      </c>
      <c r="N72" s="178">
        <v>44589</v>
      </c>
      <c r="O72" t="s">
        <v>252</v>
      </c>
    </row>
    <row r="73" spans="1:15" x14ac:dyDescent="0.2">
      <c r="A73" t="s">
        <v>253</v>
      </c>
      <c r="B73" t="s">
        <v>48</v>
      </c>
      <c r="D73">
        <v>1</v>
      </c>
      <c r="E73" t="s">
        <v>640</v>
      </c>
      <c r="F73" t="s">
        <v>261</v>
      </c>
      <c r="G73" t="s">
        <v>262</v>
      </c>
      <c r="H73">
        <v>1.1499999999999999</v>
      </c>
      <c r="I73">
        <v>1.1499999999999999</v>
      </c>
      <c r="J73">
        <v>0</v>
      </c>
      <c r="K73">
        <v>1.1499999999999999</v>
      </c>
      <c r="L73">
        <v>0.1</v>
      </c>
      <c r="M73">
        <v>1.2777777777777777</v>
      </c>
      <c r="N73" s="178">
        <v>44589</v>
      </c>
      <c r="O73" t="s">
        <v>252</v>
      </c>
    </row>
    <row r="74" spans="1:15" x14ac:dyDescent="0.2">
      <c r="A74" t="s">
        <v>308</v>
      </c>
      <c r="B74" t="s">
        <v>48</v>
      </c>
      <c r="D74">
        <v>1</v>
      </c>
      <c r="E74" t="s">
        <v>640</v>
      </c>
      <c r="F74" t="s">
        <v>311</v>
      </c>
      <c r="G74" t="s">
        <v>312</v>
      </c>
      <c r="H74">
        <v>1.29</v>
      </c>
      <c r="I74">
        <v>1.29</v>
      </c>
      <c r="J74">
        <v>0</v>
      </c>
      <c r="K74">
        <v>1.29</v>
      </c>
      <c r="L74">
        <v>0.1</v>
      </c>
      <c r="M74">
        <v>1.4333333333333333</v>
      </c>
      <c r="N74" s="178">
        <v>44589</v>
      </c>
      <c r="O74" t="s">
        <v>252</v>
      </c>
    </row>
    <row r="75" spans="1:15" x14ac:dyDescent="0.2">
      <c r="A75" t="s">
        <v>253</v>
      </c>
      <c r="B75" t="s">
        <v>48</v>
      </c>
      <c r="D75">
        <v>1</v>
      </c>
      <c r="E75" t="s">
        <v>640</v>
      </c>
      <c r="F75" t="s">
        <v>255</v>
      </c>
      <c r="G75" t="s">
        <v>256</v>
      </c>
      <c r="H75">
        <v>1.1499999999999999</v>
      </c>
      <c r="I75">
        <v>1.1499999999999999</v>
      </c>
      <c r="J75">
        <v>0</v>
      </c>
      <c r="K75">
        <v>1.1499999999999999</v>
      </c>
      <c r="L75">
        <v>0.1</v>
      </c>
      <c r="M75">
        <v>1.2777777777777777</v>
      </c>
      <c r="N75" s="178">
        <v>44589</v>
      </c>
      <c r="O75" t="s">
        <v>252</v>
      </c>
    </row>
    <row r="76" spans="1:15" x14ac:dyDescent="0.2">
      <c r="A76" t="s">
        <v>308</v>
      </c>
      <c r="B76" t="s">
        <v>48</v>
      </c>
      <c r="D76">
        <v>1</v>
      </c>
      <c r="E76" t="s">
        <v>640</v>
      </c>
      <c r="F76" t="s">
        <v>313</v>
      </c>
      <c r="G76" t="s">
        <v>314</v>
      </c>
      <c r="H76">
        <v>1.29</v>
      </c>
      <c r="I76">
        <v>1.29</v>
      </c>
      <c r="J76">
        <v>0</v>
      </c>
      <c r="K76">
        <v>1.29</v>
      </c>
      <c r="L76">
        <v>0.1</v>
      </c>
      <c r="M76">
        <v>1.4333333333333333</v>
      </c>
      <c r="N76" s="178">
        <v>44589</v>
      </c>
      <c r="O76" t="s">
        <v>252</v>
      </c>
    </row>
    <row r="77" spans="1:15" x14ac:dyDescent="0.2">
      <c r="A77" t="s">
        <v>253</v>
      </c>
      <c r="B77" t="s">
        <v>48</v>
      </c>
      <c r="D77">
        <v>1</v>
      </c>
      <c r="E77" t="s">
        <v>640</v>
      </c>
      <c r="F77" t="s">
        <v>265</v>
      </c>
      <c r="G77" t="s">
        <v>266</v>
      </c>
      <c r="H77">
        <v>0.68</v>
      </c>
      <c r="I77">
        <v>0.68</v>
      </c>
      <c r="J77">
        <v>0</v>
      </c>
      <c r="K77">
        <v>0.68</v>
      </c>
      <c r="L77">
        <v>0.1</v>
      </c>
      <c r="M77">
        <v>0.75555555555555554</v>
      </c>
      <c r="N77" s="178">
        <v>44589</v>
      </c>
      <c r="O77" t="s">
        <v>252</v>
      </c>
    </row>
    <row r="78" spans="1:15" x14ac:dyDescent="0.2">
      <c r="A78" t="s">
        <v>253</v>
      </c>
      <c r="B78" t="s">
        <v>48</v>
      </c>
      <c r="D78">
        <v>1</v>
      </c>
      <c r="E78" t="s">
        <v>640</v>
      </c>
      <c r="F78" t="s">
        <v>271</v>
      </c>
      <c r="G78" t="s">
        <v>272</v>
      </c>
      <c r="H78">
        <v>0.68</v>
      </c>
      <c r="I78">
        <v>0.68</v>
      </c>
      <c r="J78">
        <v>0</v>
      </c>
      <c r="K78">
        <v>0.68</v>
      </c>
      <c r="L78">
        <v>0.1</v>
      </c>
      <c r="M78">
        <v>0.75555555555555554</v>
      </c>
      <c r="N78" s="178">
        <v>44589</v>
      </c>
      <c r="O78" t="s">
        <v>252</v>
      </c>
    </row>
    <row r="79" spans="1:15" x14ac:dyDescent="0.2">
      <c r="A79" t="s">
        <v>253</v>
      </c>
      <c r="B79" t="s">
        <v>48</v>
      </c>
      <c r="D79">
        <v>1</v>
      </c>
      <c r="E79" t="s">
        <v>640</v>
      </c>
      <c r="F79" t="s">
        <v>267</v>
      </c>
      <c r="G79" t="s">
        <v>268</v>
      </c>
      <c r="H79">
        <v>0.68</v>
      </c>
      <c r="I79">
        <v>0.68</v>
      </c>
      <c r="J79">
        <v>0</v>
      </c>
      <c r="K79">
        <v>0.68</v>
      </c>
      <c r="L79">
        <v>0.1</v>
      </c>
      <c r="M79">
        <v>0.75555555555555554</v>
      </c>
      <c r="N79" s="178">
        <v>44589</v>
      </c>
      <c r="O79" t="s">
        <v>252</v>
      </c>
    </row>
    <row r="80" spans="1:15" x14ac:dyDescent="0.2">
      <c r="A80" t="s">
        <v>253</v>
      </c>
      <c r="B80" t="s">
        <v>48</v>
      </c>
      <c r="D80">
        <v>1</v>
      </c>
      <c r="E80" t="s">
        <v>640</v>
      </c>
      <c r="F80" t="s">
        <v>269</v>
      </c>
      <c r="G80" t="s">
        <v>270</v>
      </c>
      <c r="H80">
        <v>0.68</v>
      </c>
      <c r="I80">
        <v>0.68</v>
      </c>
      <c r="J80">
        <v>0</v>
      </c>
      <c r="K80">
        <v>0.68</v>
      </c>
      <c r="L80">
        <v>0.1</v>
      </c>
      <c r="M80">
        <v>0.75555555555555554</v>
      </c>
      <c r="N80" s="178">
        <v>44589</v>
      </c>
      <c r="O80" t="s">
        <v>252</v>
      </c>
    </row>
    <row r="81" spans="1:15" x14ac:dyDescent="0.2">
      <c r="A81" t="s">
        <v>253</v>
      </c>
      <c r="B81" t="s">
        <v>48</v>
      </c>
      <c r="D81">
        <v>1</v>
      </c>
      <c r="E81" t="s">
        <v>640</v>
      </c>
      <c r="F81" t="s">
        <v>259</v>
      </c>
      <c r="G81" t="s">
        <v>260</v>
      </c>
      <c r="H81">
        <v>0.99</v>
      </c>
      <c r="I81">
        <v>0.99</v>
      </c>
      <c r="J81">
        <v>0</v>
      </c>
      <c r="K81">
        <v>0.99</v>
      </c>
      <c r="L81">
        <v>0.1</v>
      </c>
      <c r="M81">
        <v>1.0999999999999999</v>
      </c>
      <c r="N81" s="178">
        <v>44589</v>
      </c>
      <c r="O81" t="s">
        <v>252</v>
      </c>
    </row>
    <row r="82" spans="1:15" x14ac:dyDescent="0.2">
      <c r="A82" t="s">
        <v>253</v>
      </c>
      <c r="B82" t="s">
        <v>48</v>
      </c>
      <c r="D82">
        <v>1</v>
      </c>
      <c r="E82" t="s">
        <v>254</v>
      </c>
      <c r="F82" t="s">
        <v>273</v>
      </c>
      <c r="G82" t="s">
        <v>274</v>
      </c>
      <c r="H82">
        <v>0.99</v>
      </c>
      <c r="I82">
        <v>0.99</v>
      </c>
      <c r="J82">
        <v>0</v>
      </c>
      <c r="K82">
        <v>0.99</v>
      </c>
      <c r="L82">
        <v>0.1</v>
      </c>
      <c r="M82">
        <v>1.0999999999999999</v>
      </c>
      <c r="N82" s="178">
        <v>44589</v>
      </c>
      <c r="O82" t="s">
        <v>252</v>
      </c>
    </row>
    <row r="83" spans="1:15" x14ac:dyDescent="0.2">
      <c r="A83" t="s">
        <v>253</v>
      </c>
      <c r="B83" t="s">
        <v>48</v>
      </c>
      <c r="D83">
        <v>1</v>
      </c>
      <c r="E83" t="s">
        <v>640</v>
      </c>
      <c r="F83" t="s">
        <v>263</v>
      </c>
      <c r="G83" t="s">
        <v>264</v>
      </c>
      <c r="H83">
        <v>0.99</v>
      </c>
      <c r="I83">
        <v>0.99</v>
      </c>
      <c r="J83">
        <v>0</v>
      </c>
      <c r="K83">
        <v>0.99</v>
      </c>
      <c r="L83">
        <v>0.1</v>
      </c>
      <c r="M83">
        <v>1.0999999999999999</v>
      </c>
      <c r="N83" s="178">
        <v>44589</v>
      </c>
      <c r="O83" t="s">
        <v>252</v>
      </c>
    </row>
    <row r="84" spans="1:15" x14ac:dyDescent="0.2">
      <c r="A84" t="s">
        <v>444</v>
      </c>
      <c r="B84" t="s">
        <v>48</v>
      </c>
      <c r="D84">
        <v>1</v>
      </c>
      <c r="E84" t="s">
        <v>23</v>
      </c>
      <c r="G84" t="s">
        <v>661</v>
      </c>
      <c r="H84">
        <v>13.48</v>
      </c>
      <c r="I84">
        <v>13.48</v>
      </c>
      <c r="J84">
        <v>0</v>
      </c>
      <c r="K84">
        <v>13.48</v>
      </c>
      <c r="L84">
        <v>0.1</v>
      </c>
      <c r="M84">
        <v>14.977777777777778</v>
      </c>
      <c r="N84" s="178">
        <v>44763</v>
      </c>
      <c r="O84" t="s">
        <v>221</v>
      </c>
    </row>
    <row r="85" spans="1:15" x14ac:dyDescent="0.2">
      <c r="A85" t="s">
        <v>456</v>
      </c>
      <c r="B85" t="s">
        <v>7</v>
      </c>
      <c r="D85">
        <v>1</v>
      </c>
      <c r="E85" t="s">
        <v>23</v>
      </c>
      <c r="F85" t="s">
        <v>465</v>
      </c>
      <c r="G85" t="s">
        <v>466</v>
      </c>
      <c r="H85">
        <v>592.98</v>
      </c>
      <c r="I85">
        <v>592.98</v>
      </c>
      <c r="J85">
        <v>0.05</v>
      </c>
      <c r="K85">
        <v>622.62900000000002</v>
      </c>
      <c r="L85">
        <v>0.1</v>
      </c>
      <c r="M85">
        <v>691.81000000000006</v>
      </c>
      <c r="N85" s="178">
        <v>44027</v>
      </c>
      <c r="O85" t="s">
        <v>456</v>
      </c>
    </row>
    <row r="86" spans="1:15" x14ac:dyDescent="0.2">
      <c r="A86" t="s">
        <v>437</v>
      </c>
      <c r="B86" t="s">
        <v>44</v>
      </c>
      <c r="D86">
        <v>1</v>
      </c>
      <c r="E86" t="s">
        <v>23</v>
      </c>
      <c r="G86" t="s">
        <v>438</v>
      </c>
      <c r="H86">
        <v>263.01</v>
      </c>
      <c r="I86">
        <v>263.01</v>
      </c>
      <c r="J86">
        <v>0</v>
      </c>
      <c r="K86">
        <v>263.01</v>
      </c>
      <c r="L86">
        <v>0.1</v>
      </c>
      <c r="M86">
        <v>292.23333333333329</v>
      </c>
      <c r="N86" s="178">
        <v>44816</v>
      </c>
      <c r="O86" t="s">
        <v>437</v>
      </c>
    </row>
    <row r="87" spans="1:15" x14ac:dyDescent="0.2">
      <c r="A87" t="s">
        <v>437</v>
      </c>
      <c r="B87" t="s">
        <v>44</v>
      </c>
      <c r="D87">
        <v>1</v>
      </c>
      <c r="E87" t="s">
        <v>23</v>
      </c>
      <c r="G87" t="s">
        <v>439</v>
      </c>
      <c r="H87">
        <v>776.8</v>
      </c>
      <c r="I87">
        <v>776.8</v>
      </c>
      <c r="J87">
        <v>0</v>
      </c>
      <c r="K87">
        <v>776.8</v>
      </c>
      <c r="L87">
        <v>0.1</v>
      </c>
      <c r="M87">
        <v>863.11111111111109</v>
      </c>
      <c r="N87" s="178">
        <v>44634</v>
      </c>
      <c r="O87" t="s">
        <v>437</v>
      </c>
    </row>
    <row r="88" spans="1:15" x14ac:dyDescent="0.2">
      <c r="A88" t="s">
        <v>405</v>
      </c>
      <c r="B88" t="s">
        <v>662</v>
      </c>
      <c r="D88">
        <v>1</v>
      </c>
      <c r="E88" t="s">
        <v>23</v>
      </c>
      <c r="F88" t="s">
        <v>663</v>
      </c>
      <c r="G88" t="s">
        <v>664</v>
      </c>
      <c r="H88">
        <v>278.58</v>
      </c>
      <c r="I88">
        <v>278.58</v>
      </c>
      <c r="J88">
        <v>0</v>
      </c>
      <c r="K88">
        <v>278.58</v>
      </c>
      <c r="L88">
        <v>0.1</v>
      </c>
      <c r="M88">
        <v>309.5333333333333</v>
      </c>
      <c r="N88" s="178">
        <v>44740</v>
      </c>
      <c r="O88" t="s">
        <v>221</v>
      </c>
    </row>
    <row r="89" spans="1:15" x14ac:dyDescent="0.2">
      <c r="A89" t="s">
        <v>609</v>
      </c>
      <c r="B89" t="s">
        <v>44</v>
      </c>
      <c r="D89">
        <v>1</v>
      </c>
      <c r="E89" t="s">
        <v>23</v>
      </c>
      <c r="F89" t="s">
        <v>665</v>
      </c>
      <c r="G89" t="s">
        <v>666</v>
      </c>
      <c r="H89">
        <v>83.24</v>
      </c>
      <c r="I89">
        <v>83.24</v>
      </c>
      <c r="J89">
        <v>0</v>
      </c>
      <c r="K89">
        <v>83.24</v>
      </c>
      <c r="L89">
        <v>0.1</v>
      </c>
      <c r="M89">
        <v>92.48888888888888</v>
      </c>
      <c r="N89" s="178">
        <v>44730</v>
      </c>
      <c r="O89" t="s">
        <v>221</v>
      </c>
    </row>
    <row r="90" spans="1:15" x14ac:dyDescent="0.2">
      <c r="A90" t="s">
        <v>485</v>
      </c>
      <c r="B90" t="s">
        <v>44</v>
      </c>
      <c r="D90">
        <v>1</v>
      </c>
      <c r="E90" t="s">
        <v>23</v>
      </c>
      <c r="F90" t="s">
        <v>667</v>
      </c>
      <c r="G90" t="s">
        <v>668</v>
      </c>
      <c r="H90">
        <v>92.47</v>
      </c>
      <c r="I90">
        <v>92.47</v>
      </c>
      <c r="J90">
        <v>0</v>
      </c>
      <c r="K90">
        <v>92.47</v>
      </c>
      <c r="L90">
        <v>0.1</v>
      </c>
      <c r="M90">
        <v>102.74444444444444</v>
      </c>
      <c r="N90" s="178">
        <v>44730</v>
      </c>
      <c r="O90" t="s">
        <v>221</v>
      </c>
    </row>
    <row r="91" spans="1:15" x14ac:dyDescent="0.2">
      <c r="A91" t="s">
        <v>187</v>
      </c>
      <c r="B91" t="s">
        <v>97</v>
      </c>
      <c r="D91">
        <v>1</v>
      </c>
      <c r="E91" t="s">
        <v>23</v>
      </c>
      <c r="F91" t="s">
        <v>323</v>
      </c>
      <c r="G91" t="s">
        <v>324</v>
      </c>
      <c r="H91">
        <v>355.5</v>
      </c>
      <c r="I91">
        <v>355.5</v>
      </c>
      <c r="J91">
        <v>0</v>
      </c>
      <c r="K91">
        <v>355.5</v>
      </c>
      <c r="L91">
        <v>0.1</v>
      </c>
      <c r="M91">
        <v>395</v>
      </c>
      <c r="N91" s="178">
        <v>44624</v>
      </c>
      <c r="O91" t="s">
        <v>187</v>
      </c>
    </row>
    <row r="92" spans="1:15" x14ac:dyDescent="0.2">
      <c r="A92" t="s">
        <v>280</v>
      </c>
      <c r="B92" t="s">
        <v>5</v>
      </c>
      <c r="D92">
        <v>1</v>
      </c>
      <c r="E92" t="s">
        <v>23</v>
      </c>
      <c r="F92" t="s">
        <v>281</v>
      </c>
      <c r="G92" t="s">
        <v>282</v>
      </c>
      <c r="H92">
        <v>22.33</v>
      </c>
      <c r="I92">
        <v>22.33</v>
      </c>
      <c r="J92">
        <v>0.1</v>
      </c>
      <c r="K92">
        <v>24.562999999999999</v>
      </c>
      <c r="L92">
        <v>0.1</v>
      </c>
      <c r="M92">
        <v>27.292222222222222</v>
      </c>
      <c r="N92" s="178">
        <v>44671</v>
      </c>
      <c r="O92" t="s">
        <v>221</v>
      </c>
    </row>
    <row r="93" spans="1:15" x14ac:dyDescent="0.2">
      <c r="A93" t="s">
        <v>225</v>
      </c>
      <c r="B93" t="s">
        <v>229</v>
      </c>
      <c r="D93">
        <v>1</v>
      </c>
      <c r="E93" t="s">
        <v>23</v>
      </c>
      <c r="F93" t="s">
        <v>230</v>
      </c>
      <c r="G93" t="s">
        <v>231</v>
      </c>
      <c r="H93">
        <v>4873.6499999999996</v>
      </c>
      <c r="I93">
        <v>4873.6499999999996</v>
      </c>
      <c r="J93">
        <v>0</v>
      </c>
      <c r="K93">
        <v>4873.6499999999996</v>
      </c>
      <c r="L93">
        <v>0.1</v>
      </c>
      <c r="M93">
        <v>5415.1666666666661</v>
      </c>
      <c r="N93" s="178">
        <v>44355</v>
      </c>
      <c r="O93" t="s">
        <v>228</v>
      </c>
    </row>
    <row r="94" spans="1:15" x14ac:dyDescent="0.2">
      <c r="A94" t="s">
        <v>342</v>
      </c>
      <c r="B94" t="s">
        <v>19</v>
      </c>
      <c r="D94">
        <v>1</v>
      </c>
      <c r="E94" t="s">
        <v>23</v>
      </c>
      <c r="F94" t="s">
        <v>477</v>
      </c>
      <c r="G94" t="s">
        <v>478</v>
      </c>
      <c r="H94">
        <v>3872.63</v>
      </c>
      <c r="I94">
        <v>3872.63</v>
      </c>
      <c r="J94">
        <v>0</v>
      </c>
      <c r="K94">
        <v>3872.63</v>
      </c>
      <c r="L94">
        <v>0.1</v>
      </c>
      <c r="M94">
        <v>4302.9222222222224</v>
      </c>
      <c r="N94" s="178">
        <v>44698</v>
      </c>
      <c r="O94" t="s">
        <v>345</v>
      </c>
    </row>
    <row r="95" spans="1:15" x14ac:dyDescent="0.2">
      <c r="A95" t="s">
        <v>485</v>
      </c>
      <c r="B95" t="s">
        <v>650</v>
      </c>
      <c r="D95">
        <v>1</v>
      </c>
      <c r="E95" t="s">
        <v>23</v>
      </c>
      <c r="F95" t="s">
        <v>669</v>
      </c>
      <c r="G95" t="s">
        <v>670</v>
      </c>
      <c r="H95">
        <v>3679.8</v>
      </c>
      <c r="I95">
        <v>3679.8</v>
      </c>
      <c r="J95">
        <v>0</v>
      </c>
      <c r="K95">
        <v>3679.8</v>
      </c>
      <c r="L95">
        <v>0.1</v>
      </c>
      <c r="M95">
        <v>4088.666666666667</v>
      </c>
      <c r="N95" s="178">
        <v>44776</v>
      </c>
      <c r="O95" t="s">
        <v>221</v>
      </c>
    </row>
    <row r="96" spans="1:15" x14ac:dyDescent="0.2">
      <c r="A96" t="s">
        <v>485</v>
      </c>
      <c r="B96" t="s">
        <v>19</v>
      </c>
      <c r="D96">
        <v>1</v>
      </c>
      <c r="E96" t="s">
        <v>23</v>
      </c>
      <c r="F96" t="s">
        <v>671</v>
      </c>
      <c r="G96" t="s">
        <v>672</v>
      </c>
      <c r="H96">
        <v>485.81</v>
      </c>
      <c r="I96">
        <v>485.81</v>
      </c>
      <c r="J96">
        <v>0</v>
      </c>
      <c r="K96">
        <v>485.81</v>
      </c>
      <c r="L96">
        <v>0.1</v>
      </c>
      <c r="M96">
        <v>539.78888888888889</v>
      </c>
      <c r="N96" s="178">
        <v>44455</v>
      </c>
      <c r="O96" t="s">
        <v>221</v>
      </c>
    </row>
    <row r="97" spans="1:15" x14ac:dyDescent="0.2">
      <c r="A97" t="s">
        <v>485</v>
      </c>
      <c r="B97" t="s">
        <v>19</v>
      </c>
      <c r="D97">
        <v>1</v>
      </c>
      <c r="E97" t="s">
        <v>23</v>
      </c>
      <c r="F97" t="s">
        <v>673</v>
      </c>
      <c r="G97" t="s">
        <v>674</v>
      </c>
      <c r="H97">
        <v>777.57</v>
      </c>
      <c r="I97">
        <v>777.57</v>
      </c>
      <c r="J97">
        <v>0</v>
      </c>
      <c r="K97">
        <v>777.57</v>
      </c>
      <c r="L97">
        <v>0.1</v>
      </c>
      <c r="M97">
        <v>863.9666666666667</v>
      </c>
      <c r="N97" s="178">
        <v>44455</v>
      </c>
      <c r="O97" t="s">
        <v>221</v>
      </c>
    </row>
    <row r="98" spans="1:15" x14ac:dyDescent="0.2">
      <c r="A98" t="s">
        <v>283</v>
      </c>
      <c r="B98" t="s">
        <v>19</v>
      </c>
      <c r="D98">
        <v>1</v>
      </c>
      <c r="E98" t="s">
        <v>23</v>
      </c>
      <c r="F98" t="s">
        <v>675</v>
      </c>
      <c r="G98" t="s">
        <v>676</v>
      </c>
      <c r="H98">
        <v>854.53</v>
      </c>
      <c r="I98">
        <v>854.53</v>
      </c>
      <c r="J98">
        <v>9.7500000000000003E-2</v>
      </c>
      <c r="K98">
        <v>937.846675</v>
      </c>
      <c r="L98">
        <v>0.1</v>
      </c>
      <c r="M98">
        <v>1042.0518611111111</v>
      </c>
      <c r="N98" s="178">
        <v>44818</v>
      </c>
      <c r="O98" t="s">
        <v>283</v>
      </c>
    </row>
    <row r="99" spans="1:15" x14ac:dyDescent="0.2">
      <c r="A99" t="s">
        <v>485</v>
      </c>
      <c r="B99" t="s">
        <v>19</v>
      </c>
      <c r="D99">
        <v>1</v>
      </c>
      <c r="E99" t="s">
        <v>23</v>
      </c>
      <c r="F99" t="s">
        <v>677</v>
      </c>
      <c r="G99" t="s">
        <v>490</v>
      </c>
      <c r="H99">
        <v>818.05</v>
      </c>
      <c r="I99">
        <v>818.05</v>
      </c>
      <c r="J99">
        <v>0</v>
      </c>
      <c r="K99">
        <v>818.05</v>
      </c>
      <c r="L99">
        <v>0.1</v>
      </c>
      <c r="M99">
        <v>908.94444444444434</v>
      </c>
      <c r="N99" s="178">
        <v>44699</v>
      </c>
      <c r="O99" t="s">
        <v>221</v>
      </c>
    </row>
    <row r="100" spans="1:15" x14ac:dyDescent="0.2">
      <c r="A100" t="s">
        <v>485</v>
      </c>
      <c r="B100" t="s">
        <v>49</v>
      </c>
      <c r="D100">
        <v>1</v>
      </c>
      <c r="E100" t="s">
        <v>23</v>
      </c>
      <c r="F100" t="s">
        <v>677</v>
      </c>
      <c r="G100" t="s">
        <v>490</v>
      </c>
      <c r="H100">
        <v>454.55</v>
      </c>
      <c r="I100">
        <v>454.55</v>
      </c>
      <c r="J100">
        <v>0</v>
      </c>
      <c r="K100">
        <v>454.55</v>
      </c>
      <c r="L100">
        <v>0.1</v>
      </c>
      <c r="M100">
        <v>505.05555555555554</v>
      </c>
      <c r="N100" s="178">
        <v>44762</v>
      </c>
      <c r="O100" t="s">
        <v>503</v>
      </c>
    </row>
    <row r="101" spans="1:15" x14ac:dyDescent="0.2">
      <c r="A101" t="s">
        <v>485</v>
      </c>
      <c r="B101" t="s">
        <v>49</v>
      </c>
      <c r="D101">
        <v>1</v>
      </c>
      <c r="E101" t="s">
        <v>23</v>
      </c>
      <c r="F101" t="s">
        <v>677</v>
      </c>
      <c r="G101" t="s">
        <v>490</v>
      </c>
      <c r="H101">
        <v>827.54</v>
      </c>
      <c r="I101">
        <v>827.54</v>
      </c>
      <c r="J101">
        <v>0</v>
      </c>
      <c r="K101">
        <v>827.54</v>
      </c>
      <c r="L101">
        <v>0.1</v>
      </c>
      <c r="M101">
        <v>919.48888888888882</v>
      </c>
      <c r="N101" s="178">
        <v>44776</v>
      </c>
      <c r="O101" t="s">
        <v>221</v>
      </c>
    </row>
    <row r="102" spans="1:15" x14ac:dyDescent="0.2">
      <c r="A102" t="s">
        <v>359</v>
      </c>
      <c r="B102" t="s">
        <v>184</v>
      </c>
      <c r="D102">
        <v>1</v>
      </c>
      <c r="E102" t="s">
        <v>41</v>
      </c>
      <c r="F102" t="s">
        <v>194</v>
      </c>
      <c r="G102" t="s">
        <v>195</v>
      </c>
      <c r="H102">
        <v>18.2</v>
      </c>
      <c r="I102">
        <v>18.2</v>
      </c>
      <c r="J102">
        <v>0</v>
      </c>
      <c r="K102">
        <v>18.2</v>
      </c>
      <c r="L102">
        <v>0.1</v>
      </c>
      <c r="M102">
        <v>20.222222222222221</v>
      </c>
      <c r="N102" s="178">
        <v>44461</v>
      </c>
      <c r="O102" t="s">
        <v>187</v>
      </c>
    </row>
    <row r="103" spans="1:15" x14ac:dyDescent="0.2">
      <c r="A103" t="s">
        <v>485</v>
      </c>
      <c r="B103" t="s">
        <v>580</v>
      </c>
      <c r="D103">
        <v>1</v>
      </c>
      <c r="E103" t="s">
        <v>23</v>
      </c>
      <c r="F103" t="s">
        <v>678</v>
      </c>
      <c r="G103" t="s">
        <v>679</v>
      </c>
      <c r="H103">
        <v>112.12</v>
      </c>
      <c r="I103">
        <v>112.12</v>
      </c>
      <c r="J103">
        <v>0</v>
      </c>
      <c r="K103">
        <v>112.12</v>
      </c>
      <c r="L103">
        <v>0.1</v>
      </c>
      <c r="M103">
        <v>124.57777777777778</v>
      </c>
      <c r="N103" s="178">
        <v>44730</v>
      </c>
      <c r="O103" t="s">
        <v>221</v>
      </c>
    </row>
    <row r="104" spans="1:15" x14ac:dyDescent="0.2">
      <c r="A104" t="s">
        <v>283</v>
      </c>
      <c r="B104" t="s">
        <v>19</v>
      </c>
      <c r="D104">
        <v>1</v>
      </c>
      <c r="E104" t="s">
        <v>23</v>
      </c>
      <c r="F104" t="s">
        <v>680</v>
      </c>
      <c r="G104" t="s">
        <v>681</v>
      </c>
      <c r="H104">
        <v>3754.54</v>
      </c>
      <c r="I104">
        <v>3754.54</v>
      </c>
      <c r="J104">
        <v>9.7500000000000003E-2</v>
      </c>
      <c r="K104">
        <v>4120.6076499999999</v>
      </c>
      <c r="L104">
        <v>0.1</v>
      </c>
      <c r="M104">
        <v>4578.4529444444443</v>
      </c>
      <c r="N104" s="178">
        <v>44746</v>
      </c>
      <c r="O104" t="s">
        <v>283</v>
      </c>
    </row>
    <row r="105" spans="1:15" x14ac:dyDescent="0.2">
      <c r="A105" t="s">
        <v>283</v>
      </c>
      <c r="B105" t="s">
        <v>19</v>
      </c>
      <c r="D105">
        <v>1</v>
      </c>
      <c r="E105" t="s">
        <v>23</v>
      </c>
      <c r="F105" t="s">
        <v>682</v>
      </c>
      <c r="G105" t="s">
        <v>683</v>
      </c>
      <c r="H105">
        <v>811.32</v>
      </c>
      <c r="I105">
        <v>811.32</v>
      </c>
      <c r="J105">
        <v>9.7500000000000003E-2</v>
      </c>
      <c r="K105">
        <v>890.42370000000005</v>
      </c>
      <c r="L105">
        <v>0.1</v>
      </c>
      <c r="M105">
        <v>989.35966666666673</v>
      </c>
      <c r="N105" s="178">
        <v>44818</v>
      </c>
      <c r="O105" t="s">
        <v>283</v>
      </c>
    </row>
    <row r="106" spans="1:15" x14ac:dyDescent="0.2">
      <c r="A106" t="s">
        <v>283</v>
      </c>
      <c r="B106" t="s">
        <v>19</v>
      </c>
      <c r="D106">
        <v>1</v>
      </c>
      <c r="E106" t="s">
        <v>23</v>
      </c>
      <c r="F106" t="s">
        <v>684</v>
      </c>
      <c r="G106" t="s">
        <v>685</v>
      </c>
      <c r="H106">
        <v>661.32</v>
      </c>
      <c r="I106">
        <v>661.32</v>
      </c>
      <c r="J106">
        <v>9.7500000000000003E-2</v>
      </c>
      <c r="K106">
        <v>725.79870000000005</v>
      </c>
      <c r="L106">
        <v>0.1</v>
      </c>
      <c r="M106">
        <v>806.44299999999998</v>
      </c>
      <c r="N106" s="178">
        <v>44818</v>
      </c>
      <c r="O106" t="s">
        <v>283</v>
      </c>
    </row>
    <row r="107" spans="1:15" x14ac:dyDescent="0.2">
      <c r="A107" t="s">
        <v>283</v>
      </c>
      <c r="B107" t="s">
        <v>19</v>
      </c>
      <c r="D107">
        <v>1</v>
      </c>
      <c r="E107" t="s">
        <v>23</v>
      </c>
      <c r="F107" t="s">
        <v>686</v>
      </c>
      <c r="G107" t="s">
        <v>687</v>
      </c>
      <c r="H107">
        <v>760.34</v>
      </c>
      <c r="I107">
        <v>760.34</v>
      </c>
      <c r="J107">
        <v>9.7500000000000003E-2</v>
      </c>
      <c r="K107">
        <v>834.47315000000003</v>
      </c>
      <c r="L107">
        <v>0.1</v>
      </c>
      <c r="M107">
        <v>927.1923888888889</v>
      </c>
      <c r="N107" s="178">
        <v>44818</v>
      </c>
      <c r="O107" t="s">
        <v>283</v>
      </c>
    </row>
    <row r="108" spans="1:15" x14ac:dyDescent="0.2">
      <c r="A108" t="s">
        <v>283</v>
      </c>
      <c r="B108" t="s">
        <v>19</v>
      </c>
      <c r="D108">
        <v>1</v>
      </c>
      <c r="E108" t="s">
        <v>23</v>
      </c>
      <c r="F108" t="s">
        <v>688</v>
      </c>
      <c r="G108" t="s">
        <v>689</v>
      </c>
      <c r="H108">
        <v>614.52</v>
      </c>
      <c r="I108">
        <v>614.52</v>
      </c>
      <c r="J108">
        <v>9.7500000000000003E-2</v>
      </c>
      <c r="K108">
        <v>674.4357</v>
      </c>
      <c r="L108">
        <v>0.1</v>
      </c>
      <c r="M108">
        <v>749.37299999999993</v>
      </c>
      <c r="N108" s="178">
        <v>44818</v>
      </c>
      <c r="O108" t="s">
        <v>283</v>
      </c>
    </row>
    <row r="109" spans="1:15" x14ac:dyDescent="0.2">
      <c r="A109" t="s">
        <v>283</v>
      </c>
      <c r="B109" t="s">
        <v>19</v>
      </c>
      <c r="D109">
        <v>1</v>
      </c>
      <c r="E109" t="s">
        <v>23</v>
      </c>
      <c r="F109" t="s">
        <v>690</v>
      </c>
      <c r="G109" t="s">
        <v>691</v>
      </c>
      <c r="H109">
        <v>596.70000000000005</v>
      </c>
      <c r="I109">
        <v>596.70000000000005</v>
      </c>
      <c r="J109">
        <v>9.7500000000000003E-2</v>
      </c>
      <c r="K109">
        <v>654.87825000000009</v>
      </c>
      <c r="L109">
        <v>0.1</v>
      </c>
      <c r="M109">
        <v>727.64250000000004</v>
      </c>
      <c r="N109" s="178">
        <v>44818</v>
      </c>
      <c r="O109" t="s">
        <v>283</v>
      </c>
    </row>
    <row r="110" spans="1:15" x14ac:dyDescent="0.2">
      <c r="A110" t="s">
        <v>283</v>
      </c>
      <c r="B110" t="s">
        <v>19</v>
      </c>
      <c r="D110">
        <v>1</v>
      </c>
      <c r="E110" t="s">
        <v>23</v>
      </c>
      <c r="F110" t="s">
        <v>692</v>
      </c>
      <c r="G110" t="s">
        <v>693</v>
      </c>
      <c r="H110">
        <v>741.67</v>
      </c>
      <c r="I110">
        <v>741.67</v>
      </c>
      <c r="J110">
        <v>9.7500000000000003E-2</v>
      </c>
      <c r="K110">
        <v>813.98282499999993</v>
      </c>
      <c r="L110">
        <v>0.1</v>
      </c>
      <c r="M110">
        <v>904.42536111111099</v>
      </c>
      <c r="N110" s="178">
        <v>44818</v>
      </c>
      <c r="O110" t="s">
        <v>283</v>
      </c>
    </row>
    <row r="111" spans="1:15" x14ac:dyDescent="0.2">
      <c r="A111" t="s">
        <v>588</v>
      </c>
      <c r="B111" t="s">
        <v>19</v>
      </c>
      <c r="D111">
        <v>1</v>
      </c>
      <c r="E111" t="s">
        <v>23</v>
      </c>
      <c r="F111" t="s">
        <v>694</v>
      </c>
      <c r="G111" t="s">
        <v>695</v>
      </c>
      <c r="H111">
        <v>1271.4000000000001</v>
      </c>
      <c r="I111">
        <v>1271.4000000000001</v>
      </c>
      <c r="J111">
        <v>0</v>
      </c>
      <c r="K111">
        <v>1271.4000000000001</v>
      </c>
      <c r="L111">
        <v>0.1</v>
      </c>
      <c r="M111">
        <v>1412.6666666666667</v>
      </c>
      <c r="N111" s="178">
        <v>44762</v>
      </c>
      <c r="O111" t="s">
        <v>588</v>
      </c>
    </row>
    <row r="112" spans="1:15" x14ac:dyDescent="0.2">
      <c r="A112" t="s">
        <v>588</v>
      </c>
      <c r="B112" t="s">
        <v>19</v>
      </c>
      <c r="D112">
        <v>1</v>
      </c>
      <c r="E112" t="s">
        <v>23</v>
      </c>
      <c r="F112" t="s">
        <v>696</v>
      </c>
      <c r="G112" t="s">
        <v>697</v>
      </c>
      <c r="H112">
        <v>15100.26</v>
      </c>
      <c r="I112">
        <v>15100.26</v>
      </c>
      <c r="J112">
        <v>0</v>
      </c>
      <c r="K112">
        <v>15100.26</v>
      </c>
      <c r="L112">
        <v>0.1</v>
      </c>
      <c r="M112">
        <v>16778.066666666666</v>
      </c>
      <c r="N112" s="178">
        <v>44762</v>
      </c>
      <c r="O112" t="s">
        <v>588</v>
      </c>
    </row>
    <row r="113" spans="1:15" x14ac:dyDescent="0.2">
      <c r="A113" t="s">
        <v>588</v>
      </c>
      <c r="B113" t="s">
        <v>650</v>
      </c>
      <c r="D113">
        <v>1</v>
      </c>
      <c r="E113" t="s">
        <v>23</v>
      </c>
      <c r="F113" t="s">
        <v>698</v>
      </c>
      <c r="G113" t="s">
        <v>699</v>
      </c>
      <c r="H113">
        <v>4859.78</v>
      </c>
      <c r="I113">
        <v>4859.78</v>
      </c>
      <c r="J113">
        <v>0</v>
      </c>
      <c r="K113">
        <v>4859.78</v>
      </c>
      <c r="L113">
        <v>0.1</v>
      </c>
      <c r="M113">
        <v>5399.7555555555555</v>
      </c>
      <c r="N113" s="178">
        <v>44778</v>
      </c>
      <c r="O113" t="s">
        <v>588</v>
      </c>
    </row>
    <row r="114" spans="1:15" x14ac:dyDescent="0.2">
      <c r="A114" t="s">
        <v>588</v>
      </c>
      <c r="B114" t="s">
        <v>19</v>
      </c>
      <c r="D114">
        <v>1</v>
      </c>
      <c r="E114" t="s">
        <v>23</v>
      </c>
      <c r="F114" t="s">
        <v>700</v>
      </c>
      <c r="G114" t="s">
        <v>701</v>
      </c>
      <c r="H114">
        <v>3405.6</v>
      </c>
      <c r="I114">
        <v>3405.6</v>
      </c>
      <c r="J114">
        <v>0</v>
      </c>
      <c r="K114">
        <v>3405.6</v>
      </c>
      <c r="L114">
        <v>0.1</v>
      </c>
      <c r="M114">
        <v>3784</v>
      </c>
      <c r="N114" s="178">
        <v>44762</v>
      </c>
      <c r="O114" t="s">
        <v>588</v>
      </c>
    </row>
    <row r="115" spans="1:15" x14ac:dyDescent="0.2">
      <c r="A115" t="s">
        <v>588</v>
      </c>
      <c r="B115" t="s">
        <v>19</v>
      </c>
      <c r="D115">
        <v>1</v>
      </c>
      <c r="E115" t="s">
        <v>23</v>
      </c>
      <c r="F115" t="s">
        <v>702</v>
      </c>
      <c r="G115" t="s">
        <v>703</v>
      </c>
      <c r="H115">
        <v>7824.49</v>
      </c>
      <c r="I115">
        <v>7824.49</v>
      </c>
      <c r="J115">
        <v>0</v>
      </c>
      <c r="K115">
        <v>7824.49</v>
      </c>
      <c r="L115">
        <v>0.1</v>
      </c>
      <c r="M115">
        <v>8693.8777777777777</v>
      </c>
      <c r="N115" s="178">
        <v>44762</v>
      </c>
      <c r="O115" t="s">
        <v>588</v>
      </c>
    </row>
    <row r="116" spans="1:15" x14ac:dyDescent="0.2">
      <c r="A116" t="s">
        <v>342</v>
      </c>
      <c r="B116" t="s">
        <v>19</v>
      </c>
      <c r="D116">
        <v>1</v>
      </c>
      <c r="E116" t="s">
        <v>23</v>
      </c>
      <c r="F116" t="s">
        <v>467</v>
      </c>
      <c r="G116" t="s">
        <v>468</v>
      </c>
      <c r="H116">
        <v>8370</v>
      </c>
      <c r="I116">
        <v>8370</v>
      </c>
      <c r="J116">
        <v>0</v>
      </c>
      <c r="K116">
        <v>8370</v>
      </c>
      <c r="L116">
        <v>0.1</v>
      </c>
      <c r="M116">
        <v>9300</v>
      </c>
      <c r="N116" s="178">
        <v>44698</v>
      </c>
      <c r="O116" t="s">
        <v>345</v>
      </c>
    </row>
    <row r="117" spans="1:15" x14ac:dyDescent="0.2">
      <c r="A117" t="s">
        <v>342</v>
      </c>
      <c r="B117" t="s">
        <v>19</v>
      </c>
      <c r="D117">
        <v>1</v>
      </c>
      <c r="E117" t="s">
        <v>23</v>
      </c>
      <c r="F117" t="s">
        <v>210</v>
      </c>
      <c r="G117" t="s">
        <v>211</v>
      </c>
      <c r="H117">
        <v>6525.04</v>
      </c>
      <c r="I117">
        <v>6525.04</v>
      </c>
      <c r="J117">
        <v>0</v>
      </c>
      <c r="K117">
        <v>6525.04</v>
      </c>
      <c r="L117">
        <v>0.1</v>
      </c>
      <c r="M117">
        <v>7250.0444444444438</v>
      </c>
      <c r="N117" s="178">
        <v>44671</v>
      </c>
      <c r="O117" t="s">
        <v>345</v>
      </c>
    </row>
    <row r="118" spans="1:15" x14ac:dyDescent="0.2">
      <c r="A118" t="s">
        <v>283</v>
      </c>
      <c r="B118" t="s">
        <v>19</v>
      </c>
      <c r="D118">
        <v>1</v>
      </c>
      <c r="E118" t="s">
        <v>23</v>
      </c>
      <c r="F118" t="s">
        <v>292</v>
      </c>
      <c r="G118" t="s">
        <v>293</v>
      </c>
      <c r="H118">
        <v>4307.97</v>
      </c>
      <c r="I118">
        <v>4307.97</v>
      </c>
      <c r="J118">
        <v>9.7500000000000003E-2</v>
      </c>
      <c r="K118">
        <v>4727.9970750000002</v>
      </c>
      <c r="L118">
        <v>0.1</v>
      </c>
      <c r="M118">
        <v>5253.3300833333333</v>
      </c>
      <c r="N118" s="178">
        <v>44748</v>
      </c>
      <c r="O118" t="s">
        <v>283</v>
      </c>
    </row>
    <row r="119" spans="1:15" x14ac:dyDescent="0.2">
      <c r="A119" t="s">
        <v>405</v>
      </c>
      <c r="B119" t="s">
        <v>5</v>
      </c>
      <c r="D119">
        <v>1</v>
      </c>
      <c r="E119" t="s">
        <v>23</v>
      </c>
      <c r="F119" t="s">
        <v>423</v>
      </c>
      <c r="G119" t="s">
        <v>424</v>
      </c>
      <c r="H119">
        <v>320.37</v>
      </c>
      <c r="I119">
        <v>320.37</v>
      </c>
      <c r="J119">
        <v>0</v>
      </c>
      <c r="K119">
        <v>320.37</v>
      </c>
      <c r="L119">
        <v>0.1</v>
      </c>
      <c r="M119">
        <v>355.96666666666664</v>
      </c>
      <c r="N119" s="178">
        <v>44671</v>
      </c>
      <c r="O119" t="s">
        <v>408</v>
      </c>
    </row>
    <row r="120" spans="1:15" x14ac:dyDescent="0.2">
      <c r="A120" t="s">
        <v>405</v>
      </c>
      <c r="B120" t="s">
        <v>704</v>
      </c>
      <c r="D120">
        <v>1</v>
      </c>
      <c r="E120" t="s">
        <v>23</v>
      </c>
      <c r="F120" t="s">
        <v>705</v>
      </c>
      <c r="G120" t="s">
        <v>706</v>
      </c>
      <c r="H120">
        <v>317.72000000000003</v>
      </c>
      <c r="I120">
        <v>317.72000000000003</v>
      </c>
      <c r="J120">
        <v>0</v>
      </c>
      <c r="K120">
        <v>317.72000000000003</v>
      </c>
      <c r="L120">
        <v>0.1</v>
      </c>
      <c r="M120">
        <v>353.02222222222224</v>
      </c>
      <c r="N120" s="178">
        <v>44740</v>
      </c>
      <c r="O120" t="s">
        <v>221</v>
      </c>
    </row>
    <row r="121" spans="1:15" x14ac:dyDescent="0.2">
      <c r="A121" t="s">
        <v>405</v>
      </c>
      <c r="B121" t="s">
        <v>5</v>
      </c>
      <c r="D121">
        <v>1</v>
      </c>
      <c r="E121" t="s">
        <v>23</v>
      </c>
      <c r="F121" t="s">
        <v>421</v>
      </c>
      <c r="G121" t="s">
        <v>422</v>
      </c>
      <c r="H121">
        <v>246.14</v>
      </c>
      <c r="I121">
        <v>246.14</v>
      </c>
      <c r="J121">
        <v>0.1</v>
      </c>
      <c r="K121">
        <v>270.75399999999996</v>
      </c>
      <c r="L121">
        <v>0.1</v>
      </c>
      <c r="M121">
        <v>300.83777777777772</v>
      </c>
      <c r="N121" s="178">
        <v>44671</v>
      </c>
      <c r="O121" t="s">
        <v>221</v>
      </c>
    </row>
    <row r="122" spans="1:15" x14ac:dyDescent="0.2">
      <c r="A122" t="s">
        <v>444</v>
      </c>
      <c r="B122" t="s">
        <v>48</v>
      </c>
      <c r="D122">
        <v>1</v>
      </c>
      <c r="E122" t="s">
        <v>23</v>
      </c>
      <c r="G122" t="s">
        <v>707</v>
      </c>
      <c r="H122">
        <v>13.21</v>
      </c>
      <c r="I122">
        <v>13.21</v>
      </c>
      <c r="J122">
        <v>0</v>
      </c>
      <c r="K122">
        <v>13.21</v>
      </c>
      <c r="L122">
        <v>0.1</v>
      </c>
      <c r="M122">
        <v>14.677777777777779</v>
      </c>
      <c r="N122" s="178">
        <v>44763</v>
      </c>
      <c r="O122" t="s">
        <v>221</v>
      </c>
    </row>
    <row r="123" spans="1:15" x14ac:dyDescent="0.2">
      <c r="A123" t="s">
        <v>609</v>
      </c>
      <c r="B123" t="s">
        <v>96</v>
      </c>
      <c r="D123">
        <v>1</v>
      </c>
      <c r="E123" t="s">
        <v>23</v>
      </c>
      <c r="F123" t="s">
        <v>708</v>
      </c>
      <c r="G123" t="s">
        <v>709</v>
      </c>
      <c r="H123">
        <v>5.54</v>
      </c>
      <c r="I123">
        <v>5.54</v>
      </c>
      <c r="J123">
        <v>0</v>
      </c>
      <c r="K123">
        <v>5.54</v>
      </c>
      <c r="L123">
        <v>0.1</v>
      </c>
      <c r="M123">
        <v>6.155555555555555</v>
      </c>
      <c r="N123" s="178">
        <v>44724</v>
      </c>
      <c r="O123" t="s">
        <v>221</v>
      </c>
    </row>
    <row r="124" spans="1:15" x14ac:dyDescent="0.2">
      <c r="A124" t="s">
        <v>444</v>
      </c>
      <c r="B124" t="s">
        <v>48</v>
      </c>
      <c r="D124">
        <v>1</v>
      </c>
      <c r="E124" t="s">
        <v>23</v>
      </c>
      <c r="G124" t="s">
        <v>710</v>
      </c>
      <c r="H124">
        <v>15.28</v>
      </c>
      <c r="I124">
        <v>15.28</v>
      </c>
      <c r="J124">
        <v>0</v>
      </c>
      <c r="K124">
        <v>15.28</v>
      </c>
      <c r="L124">
        <v>0.1</v>
      </c>
      <c r="M124">
        <v>16.977777777777778</v>
      </c>
      <c r="N124" s="178">
        <v>44763</v>
      </c>
      <c r="O124" t="s">
        <v>221</v>
      </c>
    </row>
    <row r="125" spans="1:15" x14ac:dyDescent="0.2">
      <c r="A125" t="s">
        <v>609</v>
      </c>
      <c r="B125" t="s">
        <v>96</v>
      </c>
      <c r="D125">
        <v>1</v>
      </c>
      <c r="E125" t="s">
        <v>23</v>
      </c>
      <c r="F125" t="s">
        <v>711</v>
      </c>
      <c r="G125" t="s">
        <v>712</v>
      </c>
      <c r="H125">
        <v>10.32</v>
      </c>
      <c r="I125">
        <v>10.32</v>
      </c>
      <c r="J125">
        <v>0</v>
      </c>
      <c r="K125">
        <v>10.32</v>
      </c>
      <c r="L125">
        <v>0.1</v>
      </c>
      <c r="M125">
        <v>11.466666666666667</v>
      </c>
      <c r="N125" s="178">
        <v>44724</v>
      </c>
      <c r="O125" t="s">
        <v>221</v>
      </c>
    </row>
    <row r="126" spans="1:15" x14ac:dyDescent="0.2">
      <c r="A126" t="s">
        <v>444</v>
      </c>
      <c r="B126" t="s">
        <v>48</v>
      </c>
      <c r="D126">
        <v>1</v>
      </c>
      <c r="E126" t="s">
        <v>23</v>
      </c>
      <c r="G126" t="s">
        <v>713</v>
      </c>
      <c r="H126">
        <v>13.76</v>
      </c>
      <c r="I126">
        <v>13.76</v>
      </c>
      <c r="J126">
        <v>0</v>
      </c>
      <c r="K126">
        <v>13.76</v>
      </c>
      <c r="L126">
        <v>0.1</v>
      </c>
      <c r="M126">
        <v>15.288888888888888</v>
      </c>
      <c r="N126" s="178">
        <v>44763</v>
      </c>
      <c r="O126" t="s">
        <v>221</v>
      </c>
    </row>
    <row r="127" spans="1:15" x14ac:dyDescent="0.2">
      <c r="A127" t="s">
        <v>609</v>
      </c>
      <c r="B127" t="s">
        <v>96</v>
      </c>
      <c r="D127">
        <v>1</v>
      </c>
      <c r="E127" t="s">
        <v>23</v>
      </c>
      <c r="F127" t="s">
        <v>714</v>
      </c>
      <c r="G127" t="s">
        <v>715</v>
      </c>
      <c r="H127">
        <v>9.2899999999999991</v>
      </c>
      <c r="I127">
        <v>9.2899999999999991</v>
      </c>
      <c r="J127">
        <v>0</v>
      </c>
      <c r="K127">
        <v>9.2899999999999991</v>
      </c>
      <c r="L127">
        <v>0.1</v>
      </c>
      <c r="M127">
        <v>10.322222222222221</v>
      </c>
      <c r="N127" s="178">
        <v>44724</v>
      </c>
      <c r="O127" t="s">
        <v>221</v>
      </c>
    </row>
    <row r="128" spans="1:15" x14ac:dyDescent="0.2">
      <c r="A128" t="s">
        <v>609</v>
      </c>
      <c r="B128" t="s">
        <v>96</v>
      </c>
      <c r="D128">
        <v>1</v>
      </c>
      <c r="E128" t="s">
        <v>23</v>
      </c>
      <c r="F128" t="s">
        <v>716</v>
      </c>
      <c r="G128" t="s">
        <v>717</v>
      </c>
      <c r="H128">
        <v>10.32</v>
      </c>
      <c r="I128">
        <v>10.32</v>
      </c>
      <c r="J128">
        <v>0</v>
      </c>
      <c r="K128">
        <v>10.32</v>
      </c>
      <c r="L128">
        <v>0.1</v>
      </c>
      <c r="M128">
        <v>11.466666666666667</v>
      </c>
      <c r="N128" s="178">
        <v>44724</v>
      </c>
      <c r="O128" t="s">
        <v>221</v>
      </c>
    </row>
    <row r="129" spans="1:16" x14ac:dyDescent="0.2">
      <c r="A129" t="s">
        <v>444</v>
      </c>
      <c r="B129" t="s">
        <v>48</v>
      </c>
      <c r="D129">
        <v>1</v>
      </c>
      <c r="E129" t="s">
        <v>23</v>
      </c>
      <c r="G129" t="s">
        <v>718</v>
      </c>
      <c r="H129">
        <v>15.28</v>
      </c>
      <c r="I129">
        <v>15.28</v>
      </c>
      <c r="J129">
        <v>0</v>
      </c>
      <c r="K129">
        <v>15.28</v>
      </c>
      <c r="L129">
        <v>0.1</v>
      </c>
      <c r="M129">
        <v>16.977777777777778</v>
      </c>
      <c r="N129" s="178">
        <v>44851</v>
      </c>
      <c r="O129" t="s">
        <v>221</v>
      </c>
      <c r="P129" t="s">
        <v>719</v>
      </c>
    </row>
    <row r="130" spans="1:16" x14ac:dyDescent="0.2">
      <c r="A130" t="s">
        <v>609</v>
      </c>
      <c r="B130" t="s">
        <v>96</v>
      </c>
      <c r="D130">
        <v>1</v>
      </c>
      <c r="E130" t="s">
        <v>23</v>
      </c>
      <c r="F130" t="s">
        <v>720</v>
      </c>
      <c r="G130" t="s">
        <v>721</v>
      </c>
      <c r="H130">
        <v>10.36</v>
      </c>
      <c r="I130">
        <v>10.36</v>
      </c>
      <c r="J130">
        <v>0</v>
      </c>
      <c r="K130">
        <v>10.36</v>
      </c>
      <c r="L130">
        <v>0.1</v>
      </c>
      <c r="M130">
        <v>11.511111111111111</v>
      </c>
      <c r="N130" s="178">
        <v>44724</v>
      </c>
      <c r="O130" t="s">
        <v>221</v>
      </c>
    </row>
    <row r="131" spans="1:16" x14ac:dyDescent="0.2">
      <c r="A131" t="s">
        <v>444</v>
      </c>
      <c r="B131" t="s">
        <v>48</v>
      </c>
      <c r="D131">
        <v>1</v>
      </c>
      <c r="E131" t="s">
        <v>23</v>
      </c>
      <c r="F131" t="s">
        <v>722</v>
      </c>
      <c r="G131" t="s">
        <v>723</v>
      </c>
      <c r="H131">
        <v>15.28</v>
      </c>
      <c r="I131">
        <v>15.28</v>
      </c>
      <c r="J131">
        <v>0</v>
      </c>
      <c r="K131">
        <v>15.28</v>
      </c>
      <c r="L131">
        <v>0.1</v>
      </c>
      <c r="M131">
        <v>16.977777777777778</v>
      </c>
      <c r="N131" s="178">
        <v>44851</v>
      </c>
      <c r="O131" t="s">
        <v>221</v>
      </c>
      <c r="P131" t="s">
        <v>719</v>
      </c>
    </row>
    <row r="132" spans="1:16" x14ac:dyDescent="0.2">
      <c r="A132" t="s">
        <v>609</v>
      </c>
      <c r="B132" t="s">
        <v>96</v>
      </c>
      <c r="D132">
        <v>1</v>
      </c>
      <c r="E132" t="s">
        <v>23</v>
      </c>
      <c r="F132" t="s">
        <v>724</v>
      </c>
      <c r="G132" t="s">
        <v>725</v>
      </c>
      <c r="H132">
        <v>10.32</v>
      </c>
      <c r="I132">
        <v>10.32</v>
      </c>
      <c r="J132">
        <v>0</v>
      </c>
      <c r="K132">
        <v>10.32</v>
      </c>
      <c r="L132">
        <v>0.1</v>
      </c>
      <c r="M132">
        <v>11.466666666666667</v>
      </c>
      <c r="N132" s="178">
        <v>44724</v>
      </c>
      <c r="O132" t="s">
        <v>221</v>
      </c>
    </row>
    <row r="133" spans="1:16" x14ac:dyDescent="0.2">
      <c r="A133" t="s">
        <v>444</v>
      </c>
      <c r="B133" t="s">
        <v>48</v>
      </c>
      <c r="D133">
        <v>1</v>
      </c>
      <c r="E133" t="s">
        <v>23</v>
      </c>
      <c r="G133" t="s">
        <v>726</v>
      </c>
      <c r="H133">
        <v>16.809999999999999</v>
      </c>
      <c r="I133">
        <v>16.809999999999999</v>
      </c>
      <c r="J133">
        <v>0</v>
      </c>
      <c r="K133">
        <v>16.809999999999999</v>
      </c>
      <c r="L133">
        <v>0.1</v>
      </c>
      <c r="M133">
        <v>18.677777777777777</v>
      </c>
      <c r="N133" s="178">
        <v>44851</v>
      </c>
      <c r="O133" t="s">
        <v>221</v>
      </c>
      <c r="P133" t="s">
        <v>719</v>
      </c>
    </row>
    <row r="134" spans="1:16" x14ac:dyDescent="0.2">
      <c r="A134" t="s">
        <v>609</v>
      </c>
      <c r="B134" t="s">
        <v>96</v>
      </c>
      <c r="D134">
        <v>1</v>
      </c>
      <c r="E134" t="s">
        <v>23</v>
      </c>
      <c r="F134" t="s">
        <v>727</v>
      </c>
      <c r="G134" t="s">
        <v>728</v>
      </c>
      <c r="H134">
        <v>11.35</v>
      </c>
      <c r="I134">
        <v>11.35</v>
      </c>
      <c r="J134">
        <v>0</v>
      </c>
      <c r="K134">
        <v>11.35</v>
      </c>
      <c r="L134">
        <v>0.1</v>
      </c>
      <c r="M134">
        <v>12.611111111111111</v>
      </c>
      <c r="N134" s="178">
        <v>44724</v>
      </c>
      <c r="O134" t="s">
        <v>221</v>
      </c>
    </row>
    <row r="135" spans="1:16" x14ac:dyDescent="0.2">
      <c r="A135" t="s">
        <v>359</v>
      </c>
      <c r="B135" t="s">
        <v>184</v>
      </c>
      <c r="D135">
        <v>1</v>
      </c>
      <c r="E135" t="s">
        <v>23</v>
      </c>
      <c r="F135" t="s">
        <v>185</v>
      </c>
      <c r="G135" t="s">
        <v>186</v>
      </c>
      <c r="H135">
        <v>4.38</v>
      </c>
      <c r="I135">
        <v>4.38</v>
      </c>
      <c r="J135">
        <v>0</v>
      </c>
      <c r="K135">
        <v>4.38</v>
      </c>
      <c r="L135">
        <v>0.1</v>
      </c>
      <c r="M135">
        <v>4.8666666666666663</v>
      </c>
      <c r="N135" s="178">
        <v>44730</v>
      </c>
      <c r="O135" t="s">
        <v>187</v>
      </c>
    </row>
    <row r="136" spans="1:16" x14ac:dyDescent="0.2">
      <c r="A136" t="s">
        <v>359</v>
      </c>
      <c r="B136" t="s">
        <v>184</v>
      </c>
      <c r="D136">
        <v>1</v>
      </c>
      <c r="E136" t="s">
        <v>23</v>
      </c>
      <c r="F136" t="s">
        <v>188</v>
      </c>
      <c r="G136" t="s">
        <v>189</v>
      </c>
      <c r="H136">
        <v>4.38</v>
      </c>
      <c r="I136">
        <v>4.38</v>
      </c>
      <c r="J136">
        <v>0</v>
      </c>
      <c r="K136">
        <v>4.38</v>
      </c>
      <c r="L136">
        <v>0.1</v>
      </c>
      <c r="M136">
        <v>4.8666666666666663</v>
      </c>
      <c r="N136" s="178">
        <v>44730</v>
      </c>
      <c r="O136" t="s">
        <v>187</v>
      </c>
    </row>
    <row r="137" spans="1:16" x14ac:dyDescent="0.2">
      <c r="A137" t="s">
        <v>444</v>
      </c>
      <c r="B137" t="s">
        <v>5</v>
      </c>
      <c r="D137">
        <v>1</v>
      </c>
      <c r="E137" t="s">
        <v>23</v>
      </c>
      <c r="G137" t="s">
        <v>455</v>
      </c>
      <c r="H137">
        <v>333.52</v>
      </c>
      <c r="I137">
        <v>333.52</v>
      </c>
      <c r="J137">
        <v>0.1</v>
      </c>
      <c r="K137">
        <v>366.87199999999996</v>
      </c>
      <c r="L137">
        <v>0.1</v>
      </c>
      <c r="M137">
        <v>407.63555555555547</v>
      </c>
      <c r="N137" s="178">
        <v>44671</v>
      </c>
      <c r="O137" t="s">
        <v>221</v>
      </c>
    </row>
    <row r="138" spans="1:16" x14ac:dyDescent="0.2">
      <c r="A138" t="s">
        <v>485</v>
      </c>
      <c r="B138" t="s">
        <v>50</v>
      </c>
      <c r="D138">
        <v>1</v>
      </c>
      <c r="E138" t="s">
        <v>23</v>
      </c>
      <c r="F138" t="s">
        <v>729</v>
      </c>
      <c r="G138" t="s">
        <v>730</v>
      </c>
      <c r="H138">
        <v>368.62</v>
      </c>
      <c r="I138">
        <v>368.62</v>
      </c>
      <c r="J138">
        <v>0</v>
      </c>
      <c r="K138">
        <v>368.62</v>
      </c>
      <c r="L138">
        <v>0.1</v>
      </c>
      <c r="M138">
        <v>409.57777777777778</v>
      </c>
      <c r="N138" s="178">
        <v>44455</v>
      </c>
      <c r="O138" t="s">
        <v>221</v>
      </c>
    </row>
    <row r="139" spans="1:16" x14ac:dyDescent="0.2">
      <c r="A139" t="s">
        <v>609</v>
      </c>
      <c r="B139" t="s">
        <v>96</v>
      </c>
      <c r="D139">
        <v>1</v>
      </c>
      <c r="E139" t="s">
        <v>23</v>
      </c>
      <c r="F139" t="s">
        <v>731</v>
      </c>
      <c r="G139" t="s">
        <v>732</v>
      </c>
      <c r="H139">
        <v>1.83</v>
      </c>
      <c r="I139">
        <v>1.83</v>
      </c>
      <c r="J139">
        <v>0</v>
      </c>
      <c r="K139">
        <v>1.83</v>
      </c>
      <c r="L139">
        <v>0.1</v>
      </c>
      <c r="M139">
        <v>2.0333333333333332</v>
      </c>
      <c r="N139" s="178">
        <v>44724</v>
      </c>
      <c r="O139" t="s">
        <v>221</v>
      </c>
    </row>
    <row r="140" spans="1:16" x14ac:dyDescent="0.2">
      <c r="A140" t="s">
        <v>432</v>
      </c>
      <c r="B140" t="s">
        <v>5</v>
      </c>
      <c r="D140">
        <v>1</v>
      </c>
      <c r="E140" t="s">
        <v>23</v>
      </c>
      <c r="F140" t="s">
        <v>435</v>
      </c>
      <c r="G140" t="s">
        <v>436</v>
      </c>
      <c r="H140">
        <v>379.98</v>
      </c>
      <c r="I140">
        <v>379.98</v>
      </c>
      <c r="J140">
        <v>0.1</v>
      </c>
      <c r="K140">
        <v>417.97800000000001</v>
      </c>
      <c r="L140">
        <v>0.1</v>
      </c>
      <c r="M140">
        <v>464.42</v>
      </c>
      <c r="N140" s="178">
        <v>44671</v>
      </c>
      <c r="O140" t="s">
        <v>221</v>
      </c>
    </row>
    <row r="141" spans="1:16" x14ac:dyDescent="0.2">
      <c r="A141" t="s">
        <v>485</v>
      </c>
      <c r="B141" t="s">
        <v>48</v>
      </c>
      <c r="D141">
        <v>1</v>
      </c>
      <c r="E141" t="s">
        <v>23</v>
      </c>
      <c r="F141" t="s">
        <v>495</v>
      </c>
      <c r="G141" t="s">
        <v>496</v>
      </c>
      <c r="H141">
        <v>750.38</v>
      </c>
      <c r="I141">
        <v>750.38</v>
      </c>
      <c r="J141">
        <v>0</v>
      </c>
      <c r="K141">
        <v>750.38</v>
      </c>
      <c r="L141">
        <v>0.1</v>
      </c>
      <c r="M141">
        <v>833.75555555555547</v>
      </c>
      <c r="N141" s="178">
        <v>44699</v>
      </c>
      <c r="O141" t="s">
        <v>221</v>
      </c>
    </row>
    <row r="142" spans="1:16" x14ac:dyDescent="0.2">
      <c r="A142" t="s">
        <v>342</v>
      </c>
      <c r="B142" t="s">
        <v>19</v>
      </c>
      <c r="D142">
        <v>1</v>
      </c>
      <c r="E142" t="s">
        <v>23</v>
      </c>
      <c r="F142" t="s">
        <v>733</v>
      </c>
      <c r="G142" t="s">
        <v>734</v>
      </c>
      <c r="H142">
        <v>5642.94</v>
      </c>
      <c r="I142">
        <v>5642.94</v>
      </c>
      <c r="J142">
        <v>0</v>
      </c>
      <c r="K142">
        <v>5642.94</v>
      </c>
      <c r="L142">
        <v>0.1</v>
      </c>
      <c r="M142">
        <v>6269.9333333333325</v>
      </c>
      <c r="N142" s="178">
        <v>44806</v>
      </c>
      <c r="O142" t="s">
        <v>345</v>
      </c>
    </row>
    <row r="143" spans="1:16" x14ac:dyDescent="0.2">
      <c r="A143" t="s">
        <v>485</v>
      </c>
      <c r="B143" t="s">
        <v>19</v>
      </c>
      <c r="D143">
        <v>1</v>
      </c>
      <c r="E143" t="s">
        <v>23</v>
      </c>
      <c r="F143" t="s">
        <v>508</v>
      </c>
      <c r="G143" t="s">
        <v>509</v>
      </c>
      <c r="H143">
        <v>4056.62</v>
      </c>
      <c r="I143">
        <v>4056.62</v>
      </c>
      <c r="J143">
        <v>0</v>
      </c>
      <c r="K143">
        <v>4056.62</v>
      </c>
      <c r="L143">
        <v>0.1</v>
      </c>
      <c r="M143">
        <v>4507.3555555555549</v>
      </c>
      <c r="N143" s="178">
        <v>44699</v>
      </c>
      <c r="O143" t="s">
        <v>503</v>
      </c>
    </row>
    <row r="144" spans="1:16" x14ac:dyDescent="0.2">
      <c r="A144" t="s">
        <v>342</v>
      </c>
      <c r="B144" t="s">
        <v>19</v>
      </c>
      <c r="D144">
        <v>1</v>
      </c>
      <c r="E144" t="s">
        <v>23</v>
      </c>
      <c r="F144" t="s">
        <v>473</v>
      </c>
      <c r="G144" t="s">
        <v>474</v>
      </c>
      <c r="H144">
        <v>6068.05</v>
      </c>
      <c r="I144">
        <v>6068.05</v>
      </c>
      <c r="J144">
        <v>0</v>
      </c>
      <c r="K144">
        <v>6068.05</v>
      </c>
      <c r="L144">
        <v>0.1</v>
      </c>
      <c r="M144">
        <v>6742.2777777777774</v>
      </c>
      <c r="N144" s="178">
        <v>44698</v>
      </c>
      <c r="O144" t="s">
        <v>345</v>
      </c>
    </row>
    <row r="145" spans="1:15" x14ac:dyDescent="0.2">
      <c r="A145" t="s">
        <v>527</v>
      </c>
      <c r="B145" t="s">
        <v>49</v>
      </c>
      <c r="D145">
        <v>1</v>
      </c>
      <c r="E145" t="s">
        <v>23</v>
      </c>
      <c r="F145" t="s">
        <v>528</v>
      </c>
      <c r="G145" t="s">
        <v>529</v>
      </c>
      <c r="H145">
        <v>795</v>
      </c>
      <c r="I145">
        <v>795</v>
      </c>
      <c r="J145">
        <v>0</v>
      </c>
      <c r="K145">
        <v>795</v>
      </c>
      <c r="L145">
        <v>0.1</v>
      </c>
      <c r="M145">
        <v>883.33333333333326</v>
      </c>
      <c r="N145" s="178">
        <v>44723</v>
      </c>
      <c r="O145" t="s">
        <v>530</v>
      </c>
    </row>
    <row r="146" spans="1:15" x14ac:dyDescent="0.2">
      <c r="A146" t="s">
        <v>588</v>
      </c>
      <c r="B146" t="s">
        <v>19</v>
      </c>
      <c r="D146">
        <v>1</v>
      </c>
      <c r="E146" t="s">
        <v>23</v>
      </c>
      <c r="F146" t="s">
        <v>735</v>
      </c>
      <c r="G146" t="s">
        <v>736</v>
      </c>
      <c r="H146">
        <v>5609.52</v>
      </c>
      <c r="I146">
        <v>5609.52</v>
      </c>
      <c r="J146">
        <v>0</v>
      </c>
      <c r="K146">
        <v>5609.52</v>
      </c>
      <c r="L146">
        <v>0.1</v>
      </c>
      <c r="M146">
        <v>6232.8</v>
      </c>
      <c r="N146" s="178">
        <v>44762</v>
      </c>
      <c r="O146" t="s">
        <v>588</v>
      </c>
    </row>
    <row r="147" spans="1:15" x14ac:dyDescent="0.2">
      <c r="A147" t="s">
        <v>405</v>
      </c>
      <c r="B147" t="s">
        <v>19</v>
      </c>
      <c r="D147">
        <v>1</v>
      </c>
      <c r="E147" t="s">
        <v>23</v>
      </c>
      <c r="F147" t="s">
        <v>415</v>
      </c>
      <c r="G147" t="s">
        <v>416</v>
      </c>
      <c r="H147">
        <v>2569.33</v>
      </c>
      <c r="I147">
        <v>2569.33</v>
      </c>
      <c r="J147">
        <v>0</v>
      </c>
      <c r="K147">
        <v>2569.33</v>
      </c>
      <c r="L147">
        <v>0.1</v>
      </c>
      <c r="M147">
        <v>2854.8111111111111</v>
      </c>
      <c r="N147" s="178">
        <v>44671</v>
      </c>
      <c r="O147" t="s">
        <v>408</v>
      </c>
    </row>
    <row r="148" spans="1:15" x14ac:dyDescent="0.2">
      <c r="A148" t="s">
        <v>485</v>
      </c>
      <c r="B148" t="s">
        <v>19</v>
      </c>
      <c r="D148">
        <v>1</v>
      </c>
      <c r="E148" t="s">
        <v>23</v>
      </c>
      <c r="F148" t="s">
        <v>737</v>
      </c>
      <c r="G148" t="s">
        <v>738</v>
      </c>
      <c r="H148">
        <v>914.15</v>
      </c>
      <c r="I148">
        <v>914.15</v>
      </c>
      <c r="J148">
        <v>0</v>
      </c>
      <c r="K148">
        <v>914.15</v>
      </c>
      <c r="L148">
        <v>0.1</v>
      </c>
      <c r="M148">
        <v>1015.7222222222222</v>
      </c>
      <c r="N148" s="178">
        <v>44823</v>
      </c>
      <c r="O148" t="s">
        <v>221</v>
      </c>
    </row>
    <row r="149" spans="1:15" x14ac:dyDescent="0.2">
      <c r="A149" t="s">
        <v>225</v>
      </c>
      <c r="B149" t="s">
        <v>19</v>
      </c>
      <c r="D149">
        <v>1</v>
      </c>
      <c r="E149" t="s">
        <v>23</v>
      </c>
      <c r="F149" t="s">
        <v>238</v>
      </c>
      <c r="G149" t="s">
        <v>239</v>
      </c>
      <c r="H149">
        <v>13503.79</v>
      </c>
      <c r="I149">
        <v>13503.79</v>
      </c>
      <c r="J149">
        <v>0</v>
      </c>
      <c r="K149">
        <v>13503.79</v>
      </c>
      <c r="L149">
        <v>0.1</v>
      </c>
      <c r="M149">
        <v>15004.211111111112</v>
      </c>
      <c r="N149" s="178">
        <v>44355</v>
      </c>
      <c r="O149" t="s">
        <v>228</v>
      </c>
    </row>
    <row r="150" spans="1:15" x14ac:dyDescent="0.2">
      <c r="A150" t="s">
        <v>444</v>
      </c>
      <c r="B150" t="s">
        <v>48</v>
      </c>
      <c r="D150">
        <v>1</v>
      </c>
      <c r="E150" t="s">
        <v>23</v>
      </c>
      <c r="G150" t="s">
        <v>739</v>
      </c>
      <c r="H150">
        <v>24.1</v>
      </c>
      <c r="I150">
        <v>24.1</v>
      </c>
      <c r="J150">
        <v>0</v>
      </c>
      <c r="K150">
        <v>24.1</v>
      </c>
      <c r="L150">
        <v>0.1</v>
      </c>
      <c r="M150">
        <v>26.777777777777779</v>
      </c>
      <c r="N150" s="178">
        <v>44763</v>
      </c>
      <c r="O150" t="s">
        <v>221</v>
      </c>
    </row>
    <row r="151" spans="1:15" x14ac:dyDescent="0.2">
      <c r="A151" t="s">
        <v>485</v>
      </c>
      <c r="B151" t="s">
        <v>19</v>
      </c>
      <c r="D151">
        <v>1</v>
      </c>
      <c r="E151" t="s">
        <v>23</v>
      </c>
      <c r="F151" t="s">
        <v>491</v>
      </c>
      <c r="G151" t="s">
        <v>492</v>
      </c>
      <c r="H151">
        <v>394.42</v>
      </c>
      <c r="I151">
        <v>394.42</v>
      </c>
      <c r="J151">
        <v>0</v>
      </c>
      <c r="K151">
        <v>394.42</v>
      </c>
      <c r="L151">
        <v>0.1</v>
      </c>
      <c r="M151">
        <v>438.24444444444447</v>
      </c>
      <c r="N151" s="178">
        <v>44699</v>
      </c>
      <c r="O151" t="s">
        <v>221</v>
      </c>
    </row>
    <row r="152" spans="1:15" x14ac:dyDescent="0.2">
      <c r="A152" t="s">
        <v>485</v>
      </c>
      <c r="B152" t="s">
        <v>580</v>
      </c>
      <c r="D152">
        <v>1</v>
      </c>
      <c r="E152" t="s">
        <v>23</v>
      </c>
      <c r="F152" t="s">
        <v>740</v>
      </c>
      <c r="G152" t="s">
        <v>741</v>
      </c>
      <c r="H152">
        <v>65.510000000000005</v>
      </c>
      <c r="I152">
        <v>65.510000000000005</v>
      </c>
      <c r="J152">
        <v>0</v>
      </c>
      <c r="K152">
        <v>65.510000000000005</v>
      </c>
      <c r="L152">
        <v>0.1</v>
      </c>
      <c r="M152">
        <v>72.788888888888891</v>
      </c>
      <c r="N152" s="178">
        <v>44730</v>
      </c>
      <c r="O152" t="s">
        <v>221</v>
      </c>
    </row>
    <row r="153" spans="1:15" x14ac:dyDescent="0.2">
      <c r="A153" t="s">
        <v>283</v>
      </c>
      <c r="B153" t="s">
        <v>48</v>
      </c>
      <c r="D153">
        <v>1</v>
      </c>
      <c r="E153" t="s">
        <v>23</v>
      </c>
      <c r="F153" t="s">
        <v>289</v>
      </c>
      <c r="G153" t="s">
        <v>742</v>
      </c>
      <c r="H153">
        <v>147.26</v>
      </c>
      <c r="I153">
        <v>147.26</v>
      </c>
      <c r="J153">
        <v>0</v>
      </c>
      <c r="K153">
        <v>147.26</v>
      </c>
      <c r="L153">
        <v>0.1</v>
      </c>
      <c r="M153">
        <v>163.62222222222221</v>
      </c>
      <c r="N153" s="178">
        <v>44671</v>
      </c>
      <c r="O153" t="s">
        <v>283</v>
      </c>
    </row>
    <row r="154" spans="1:15" x14ac:dyDescent="0.2">
      <c r="A154" t="s">
        <v>485</v>
      </c>
      <c r="B154" t="s">
        <v>580</v>
      </c>
      <c r="D154">
        <v>1</v>
      </c>
      <c r="E154" t="s">
        <v>23</v>
      </c>
      <c r="F154" t="s">
        <v>743</v>
      </c>
      <c r="G154" t="s">
        <v>742</v>
      </c>
      <c r="H154">
        <v>315.87</v>
      </c>
      <c r="I154">
        <v>315.87</v>
      </c>
      <c r="J154">
        <v>0</v>
      </c>
      <c r="K154">
        <v>315.87</v>
      </c>
      <c r="L154">
        <v>0.1</v>
      </c>
      <c r="M154">
        <v>350.96666666666664</v>
      </c>
      <c r="N154" s="178">
        <v>44730</v>
      </c>
      <c r="O154" t="s">
        <v>221</v>
      </c>
    </row>
    <row r="155" spans="1:15" x14ac:dyDescent="0.2">
      <c r="A155" t="s">
        <v>553</v>
      </c>
      <c r="B155" t="s">
        <v>79</v>
      </c>
      <c r="D155">
        <v>1</v>
      </c>
      <c r="E155" t="s">
        <v>23</v>
      </c>
      <c r="G155" t="s">
        <v>558</v>
      </c>
      <c r="H155">
        <v>983.32</v>
      </c>
      <c r="I155">
        <v>983.32</v>
      </c>
      <c r="J155">
        <v>0</v>
      </c>
      <c r="K155">
        <v>983.32</v>
      </c>
      <c r="L155">
        <v>0.1</v>
      </c>
      <c r="M155">
        <v>1092.5777777777778</v>
      </c>
      <c r="N155" s="178">
        <v>44723</v>
      </c>
      <c r="O155" t="s">
        <v>553</v>
      </c>
    </row>
    <row r="156" spans="1:15" x14ac:dyDescent="0.2">
      <c r="A156" t="s">
        <v>553</v>
      </c>
      <c r="B156" t="s">
        <v>79</v>
      </c>
      <c r="D156">
        <v>1</v>
      </c>
      <c r="E156" t="s">
        <v>23</v>
      </c>
      <c r="G156" t="s">
        <v>559</v>
      </c>
      <c r="H156">
        <v>983.32</v>
      </c>
      <c r="I156">
        <v>983.32</v>
      </c>
      <c r="J156">
        <v>0</v>
      </c>
      <c r="K156">
        <v>983.32</v>
      </c>
      <c r="L156">
        <v>0.1</v>
      </c>
      <c r="M156">
        <v>1092.5777777777778</v>
      </c>
      <c r="N156" s="178">
        <v>44723</v>
      </c>
      <c r="O156" t="s">
        <v>553</v>
      </c>
    </row>
    <row r="157" spans="1:15" x14ac:dyDescent="0.2">
      <c r="A157" t="s">
        <v>553</v>
      </c>
      <c r="B157" t="s">
        <v>79</v>
      </c>
      <c r="D157">
        <v>1</v>
      </c>
      <c r="E157" t="s">
        <v>23</v>
      </c>
      <c r="G157" t="s">
        <v>562</v>
      </c>
      <c r="H157">
        <v>8224.1200000000008</v>
      </c>
      <c r="I157">
        <v>8224.1200000000008</v>
      </c>
      <c r="J157">
        <v>0</v>
      </c>
      <c r="K157">
        <v>8224.1200000000008</v>
      </c>
      <c r="L157">
        <v>0.1</v>
      </c>
      <c r="M157">
        <v>9137.9111111111124</v>
      </c>
      <c r="N157" s="178">
        <v>44723</v>
      </c>
      <c r="O157" t="s">
        <v>553</v>
      </c>
    </row>
    <row r="158" spans="1:15" x14ac:dyDescent="0.2">
      <c r="A158" t="s">
        <v>553</v>
      </c>
      <c r="B158" t="s">
        <v>79</v>
      </c>
      <c r="D158">
        <v>1</v>
      </c>
      <c r="E158" t="s">
        <v>23</v>
      </c>
      <c r="G158" t="s">
        <v>560</v>
      </c>
      <c r="H158">
        <v>2815.87</v>
      </c>
      <c r="I158">
        <v>2815.87</v>
      </c>
      <c r="J158">
        <v>0</v>
      </c>
      <c r="K158">
        <v>2815.87</v>
      </c>
      <c r="L158">
        <v>0.1</v>
      </c>
      <c r="M158">
        <v>3128.7444444444441</v>
      </c>
      <c r="N158" s="178">
        <v>44723</v>
      </c>
      <c r="O158" t="s">
        <v>553</v>
      </c>
    </row>
    <row r="159" spans="1:15" x14ac:dyDescent="0.2">
      <c r="A159" t="s">
        <v>553</v>
      </c>
      <c r="B159" t="s">
        <v>79</v>
      </c>
      <c r="D159">
        <v>1</v>
      </c>
      <c r="E159" t="s">
        <v>23</v>
      </c>
      <c r="G159" t="s">
        <v>555</v>
      </c>
      <c r="H159">
        <v>18437.22</v>
      </c>
      <c r="I159">
        <v>18437.22</v>
      </c>
      <c r="J159">
        <v>0</v>
      </c>
      <c r="K159">
        <v>18437.22</v>
      </c>
      <c r="L159">
        <v>0.1</v>
      </c>
      <c r="M159">
        <v>20485.8</v>
      </c>
      <c r="N159" s="178">
        <v>44723</v>
      </c>
      <c r="O159" t="s">
        <v>553</v>
      </c>
    </row>
    <row r="160" spans="1:15" x14ac:dyDescent="0.2">
      <c r="A160" t="s">
        <v>553</v>
      </c>
      <c r="B160" t="s">
        <v>79</v>
      </c>
      <c r="D160">
        <v>1</v>
      </c>
      <c r="E160" t="s">
        <v>23</v>
      </c>
      <c r="G160" t="s">
        <v>554</v>
      </c>
      <c r="H160">
        <v>16090.66</v>
      </c>
      <c r="I160">
        <v>16090.66</v>
      </c>
      <c r="J160">
        <v>0</v>
      </c>
      <c r="K160">
        <v>16090.66</v>
      </c>
      <c r="L160">
        <v>0.1</v>
      </c>
      <c r="M160">
        <v>17878.511111111111</v>
      </c>
      <c r="N160" s="178">
        <v>44723</v>
      </c>
      <c r="O160" t="s">
        <v>553</v>
      </c>
    </row>
    <row r="161" spans="1:16" x14ac:dyDescent="0.2">
      <c r="A161" t="s">
        <v>553</v>
      </c>
      <c r="B161" t="s">
        <v>79</v>
      </c>
      <c r="D161">
        <v>1</v>
      </c>
      <c r="E161" t="s">
        <v>23</v>
      </c>
      <c r="G161" t="s">
        <v>556</v>
      </c>
      <c r="H161">
        <v>6927.92</v>
      </c>
      <c r="I161">
        <v>6927.92</v>
      </c>
      <c r="J161">
        <v>0</v>
      </c>
      <c r="K161">
        <v>6927.92</v>
      </c>
      <c r="L161">
        <v>0.1</v>
      </c>
      <c r="M161">
        <v>7697.6888888888889</v>
      </c>
      <c r="N161" s="178">
        <v>44723</v>
      </c>
      <c r="O161" t="s">
        <v>553</v>
      </c>
    </row>
    <row r="162" spans="1:16" x14ac:dyDescent="0.2">
      <c r="A162" t="s">
        <v>553</v>
      </c>
      <c r="B162" t="s">
        <v>79</v>
      </c>
      <c r="D162">
        <v>1</v>
      </c>
      <c r="E162" t="s">
        <v>23</v>
      </c>
      <c r="G162" t="s">
        <v>557</v>
      </c>
      <c r="H162">
        <v>1787.85</v>
      </c>
      <c r="I162">
        <v>1787.85</v>
      </c>
      <c r="J162">
        <v>0</v>
      </c>
      <c r="K162">
        <v>1787.85</v>
      </c>
      <c r="L162">
        <v>0.1</v>
      </c>
      <c r="M162">
        <v>1986.4999999999998</v>
      </c>
      <c r="N162" s="178">
        <v>44723</v>
      </c>
      <c r="O162" t="s">
        <v>553</v>
      </c>
    </row>
    <row r="163" spans="1:16" x14ac:dyDescent="0.2">
      <c r="A163" t="s">
        <v>444</v>
      </c>
      <c r="B163" t="s">
        <v>48</v>
      </c>
      <c r="D163">
        <v>1</v>
      </c>
      <c r="E163" t="s">
        <v>23</v>
      </c>
      <c r="G163" t="s">
        <v>744</v>
      </c>
      <c r="H163">
        <v>56.73</v>
      </c>
      <c r="I163">
        <v>56.73</v>
      </c>
      <c r="J163">
        <v>0</v>
      </c>
      <c r="K163">
        <v>56.73</v>
      </c>
      <c r="L163">
        <v>0.1</v>
      </c>
      <c r="M163">
        <v>63.033333333333331</v>
      </c>
      <c r="N163" s="178">
        <v>44762</v>
      </c>
      <c r="O163" t="s">
        <v>588</v>
      </c>
    </row>
    <row r="164" spans="1:16" x14ac:dyDescent="0.2">
      <c r="A164" t="s">
        <v>444</v>
      </c>
      <c r="B164" t="s">
        <v>48</v>
      </c>
      <c r="D164">
        <v>1</v>
      </c>
      <c r="E164" t="s">
        <v>23</v>
      </c>
      <c r="G164" t="s">
        <v>745</v>
      </c>
      <c r="H164">
        <v>60.43</v>
      </c>
      <c r="I164">
        <v>60.43</v>
      </c>
      <c r="J164">
        <v>0</v>
      </c>
      <c r="K164">
        <v>60.43</v>
      </c>
      <c r="L164">
        <v>0.1</v>
      </c>
      <c r="M164">
        <v>67.144444444444446</v>
      </c>
      <c r="N164" s="178">
        <v>44763</v>
      </c>
      <c r="O164" t="s">
        <v>221</v>
      </c>
    </row>
    <row r="165" spans="1:16" x14ac:dyDescent="0.2">
      <c r="A165" t="s">
        <v>746</v>
      </c>
      <c r="B165" t="s">
        <v>96</v>
      </c>
      <c r="D165">
        <v>1</v>
      </c>
      <c r="E165" t="s">
        <v>23</v>
      </c>
      <c r="G165" t="s">
        <v>747</v>
      </c>
      <c r="H165">
        <v>83.7</v>
      </c>
      <c r="I165">
        <v>83.7</v>
      </c>
      <c r="J165">
        <v>0</v>
      </c>
      <c r="K165">
        <v>83.7</v>
      </c>
      <c r="L165">
        <v>0.1</v>
      </c>
      <c r="M165">
        <v>93</v>
      </c>
      <c r="N165" s="178">
        <v>44724</v>
      </c>
      <c r="O165" t="s">
        <v>221</v>
      </c>
    </row>
    <row r="166" spans="1:16" x14ac:dyDescent="0.2">
      <c r="A166" t="s">
        <v>444</v>
      </c>
      <c r="B166" t="s">
        <v>96</v>
      </c>
      <c r="D166">
        <v>1</v>
      </c>
      <c r="E166" t="s">
        <v>23</v>
      </c>
      <c r="F166" t="s">
        <v>748</v>
      </c>
      <c r="G166" t="s">
        <v>749</v>
      </c>
      <c r="H166">
        <v>23.94</v>
      </c>
      <c r="I166">
        <v>23.94</v>
      </c>
      <c r="J166">
        <v>0</v>
      </c>
      <c r="K166">
        <v>23.94</v>
      </c>
      <c r="L166">
        <v>0.1</v>
      </c>
      <c r="M166">
        <v>26.6</v>
      </c>
      <c r="N166" s="178">
        <v>44851</v>
      </c>
      <c r="O166" t="s">
        <v>221</v>
      </c>
      <c r="P166" t="s">
        <v>750</v>
      </c>
    </row>
    <row r="167" spans="1:16" x14ac:dyDescent="0.2">
      <c r="A167" t="s">
        <v>553</v>
      </c>
      <c r="B167" t="s">
        <v>79</v>
      </c>
      <c r="D167">
        <v>1</v>
      </c>
      <c r="E167" t="s">
        <v>23</v>
      </c>
      <c r="G167" t="s">
        <v>561</v>
      </c>
      <c r="H167">
        <v>4503.1499999999996</v>
      </c>
      <c r="I167">
        <v>4503.1499999999996</v>
      </c>
      <c r="J167">
        <v>0</v>
      </c>
      <c r="K167">
        <v>4503.1499999999996</v>
      </c>
      <c r="L167">
        <v>0.1</v>
      </c>
      <c r="M167">
        <v>5003.4999999999991</v>
      </c>
      <c r="N167" s="178">
        <v>44723</v>
      </c>
      <c r="O167" t="s">
        <v>553</v>
      </c>
    </row>
    <row r="168" spans="1:16" x14ac:dyDescent="0.2">
      <c r="A168" t="s">
        <v>485</v>
      </c>
      <c r="B168" t="s">
        <v>650</v>
      </c>
      <c r="D168">
        <v>1</v>
      </c>
      <c r="E168" t="s">
        <v>23</v>
      </c>
      <c r="F168" t="s">
        <v>751</v>
      </c>
      <c r="G168" t="s">
        <v>752</v>
      </c>
      <c r="H168">
        <v>535.41</v>
      </c>
      <c r="I168">
        <v>535.41</v>
      </c>
      <c r="J168">
        <v>0</v>
      </c>
      <c r="K168">
        <v>535.41</v>
      </c>
      <c r="L168">
        <v>0.1</v>
      </c>
      <c r="M168">
        <v>594.9</v>
      </c>
      <c r="N168" s="178">
        <v>44776</v>
      </c>
      <c r="O168" t="s">
        <v>221</v>
      </c>
    </row>
    <row r="169" spans="1:16" x14ac:dyDescent="0.2">
      <c r="A169" t="s">
        <v>485</v>
      </c>
      <c r="B169" t="s">
        <v>650</v>
      </c>
      <c r="D169">
        <v>1</v>
      </c>
      <c r="E169" t="s">
        <v>23</v>
      </c>
      <c r="F169" t="s">
        <v>753</v>
      </c>
      <c r="G169" t="s">
        <v>754</v>
      </c>
      <c r="H169">
        <v>146.61000000000001</v>
      </c>
      <c r="I169">
        <v>146.61000000000001</v>
      </c>
      <c r="J169">
        <v>0</v>
      </c>
      <c r="K169">
        <v>146.61000000000001</v>
      </c>
      <c r="L169">
        <v>0.1</v>
      </c>
      <c r="M169">
        <v>162.9</v>
      </c>
      <c r="N169" s="178">
        <v>44776</v>
      </c>
      <c r="O169" t="s">
        <v>221</v>
      </c>
    </row>
    <row r="170" spans="1:16" x14ac:dyDescent="0.2">
      <c r="A170" t="s">
        <v>485</v>
      </c>
      <c r="B170" t="s">
        <v>650</v>
      </c>
      <c r="D170">
        <v>1</v>
      </c>
      <c r="E170" t="s">
        <v>23</v>
      </c>
      <c r="F170" t="s">
        <v>755</v>
      </c>
      <c r="G170" t="s">
        <v>756</v>
      </c>
      <c r="H170">
        <v>259.44</v>
      </c>
      <c r="I170">
        <v>259.44</v>
      </c>
      <c r="J170">
        <v>0</v>
      </c>
      <c r="K170">
        <v>259.44</v>
      </c>
      <c r="L170">
        <v>0.1</v>
      </c>
      <c r="M170">
        <v>288.26666666666665</v>
      </c>
      <c r="N170" s="178">
        <v>44776</v>
      </c>
      <c r="O170" t="s">
        <v>221</v>
      </c>
    </row>
    <row r="171" spans="1:16" x14ac:dyDescent="0.2">
      <c r="A171" t="s">
        <v>485</v>
      </c>
      <c r="B171" t="s">
        <v>650</v>
      </c>
      <c r="D171">
        <v>1</v>
      </c>
      <c r="E171" t="s">
        <v>23</v>
      </c>
      <c r="F171" t="s">
        <v>757</v>
      </c>
      <c r="G171" t="s">
        <v>758</v>
      </c>
      <c r="H171">
        <v>2274.17</v>
      </c>
      <c r="I171">
        <v>2274.17</v>
      </c>
      <c r="J171">
        <v>0</v>
      </c>
      <c r="K171">
        <v>2274.17</v>
      </c>
      <c r="L171">
        <v>0.1</v>
      </c>
      <c r="M171">
        <v>2526.8555555555554</v>
      </c>
      <c r="N171" s="178">
        <v>44776</v>
      </c>
      <c r="O171" t="s">
        <v>221</v>
      </c>
    </row>
    <row r="172" spans="1:16" x14ac:dyDescent="0.2">
      <c r="A172" t="s">
        <v>485</v>
      </c>
      <c r="B172" t="s">
        <v>650</v>
      </c>
      <c r="D172">
        <v>1</v>
      </c>
      <c r="E172" t="s">
        <v>23</v>
      </c>
      <c r="F172" t="s">
        <v>759</v>
      </c>
      <c r="G172" t="s">
        <v>760</v>
      </c>
      <c r="H172">
        <v>2331.35</v>
      </c>
      <c r="I172">
        <v>2331.35</v>
      </c>
      <c r="J172">
        <v>0</v>
      </c>
      <c r="K172">
        <v>2331.35</v>
      </c>
      <c r="L172">
        <v>0.1</v>
      </c>
      <c r="M172">
        <v>2590.3888888888887</v>
      </c>
      <c r="N172" s="178">
        <v>44776</v>
      </c>
      <c r="O172" t="s">
        <v>221</v>
      </c>
    </row>
    <row r="173" spans="1:16" x14ac:dyDescent="0.2">
      <c r="A173" t="s">
        <v>485</v>
      </c>
      <c r="B173" t="s">
        <v>650</v>
      </c>
      <c r="D173">
        <v>1</v>
      </c>
      <c r="E173" t="s">
        <v>23</v>
      </c>
      <c r="F173" t="s">
        <v>761</v>
      </c>
      <c r="G173" t="s">
        <v>762</v>
      </c>
      <c r="H173">
        <v>806.34</v>
      </c>
      <c r="I173">
        <v>806.34</v>
      </c>
      <c r="J173">
        <v>0</v>
      </c>
      <c r="K173">
        <v>806.34</v>
      </c>
      <c r="L173">
        <v>0.1</v>
      </c>
      <c r="M173">
        <v>895.93333333333339</v>
      </c>
      <c r="N173" s="178">
        <v>44776</v>
      </c>
      <c r="O173" t="s">
        <v>221</v>
      </c>
    </row>
    <row r="174" spans="1:16" x14ac:dyDescent="0.2">
      <c r="A174" t="s">
        <v>485</v>
      </c>
      <c r="B174" t="s">
        <v>650</v>
      </c>
      <c r="D174">
        <v>1</v>
      </c>
      <c r="E174" t="s">
        <v>23</v>
      </c>
      <c r="F174" t="s">
        <v>763</v>
      </c>
      <c r="G174" t="s">
        <v>764</v>
      </c>
      <c r="H174">
        <v>2328.4699999999998</v>
      </c>
      <c r="I174">
        <v>2328.4699999999998</v>
      </c>
      <c r="J174">
        <v>0</v>
      </c>
      <c r="K174">
        <v>2328.4699999999998</v>
      </c>
      <c r="L174">
        <v>0.1</v>
      </c>
      <c r="M174">
        <v>2587.1888888888884</v>
      </c>
      <c r="N174" s="178">
        <v>44776</v>
      </c>
      <c r="O174" t="s">
        <v>221</v>
      </c>
    </row>
    <row r="175" spans="1:16" x14ac:dyDescent="0.2">
      <c r="A175" t="s">
        <v>485</v>
      </c>
      <c r="B175" t="s">
        <v>650</v>
      </c>
      <c r="D175">
        <v>1</v>
      </c>
      <c r="E175" t="s">
        <v>23</v>
      </c>
      <c r="F175" t="s">
        <v>765</v>
      </c>
      <c r="G175" t="s">
        <v>766</v>
      </c>
      <c r="H175">
        <v>938.58</v>
      </c>
      <c r="I175">
        <v>938.58</v>
      </c>
      <c r="J175">
        <v>0</v>
      </c>
      <c r="K175">
        <v>938.58</v>
      </c>
      <c r="L175">
        <v>0.1</v>
      </c>
      <c r="M175">
        <v>1042.8666666666668</v>
      </c>
      <c r="N175" s="178">
        <v>44776</v>
      </c>
      <c r="O175" t="s">
        <v>221</v>
      </c>
    </row>
    <row r="176" spans="1:16" x14ac:dyDescent="0.2">
      <c r="A176" t="s">
        <v>767</v>
      </c>
      <c r="B176" t="s">
        <v>5</v>
      </c>
      <c r="D176">
        <v>1</v>
      </c>
      <c r="E176" t="s">
        <v>23</v>
      </c>
      <c r="G176" t="s">
        <v>768</v>
      </c>
      <c r="H176">
        <v>37.200000000000003</v>
      </c>
      <c r="I176">
        <v>37.200000000000003</v>
      </c>
      <c r="J176">
        <v>0</v>
      </c>
      <c r="K176">
        <v>37.200000000000003</v>
      </c>
      <c r="L176">
        <v>0.1</v>
      </c>
      <c r="M176">
        <v>41.333333333333336</v>
      </c>
      <c r="N176" s="178">
        <v>44819</v>
      </c>
      <c r="O176" t="s">
        <v>767</v>
      </c>
    </row>
    <row r="177" spans="1:15" x14ac:dyDescent="0.2">
      <c r="A177" t="s">
        <v>456</v>
      </c>
      <c r="B177" t="s">
        <v>6</v>
      </c>
      <c r="D177">
        <v>1</v>
      </c>
      <c r="E177" t="s">
        <v>23</v>
      </c>
      <c r="F177" t="s">
        <v>769</v>
      </c>
      <c r="G177" t="s">
        <v>770</v>
      </c>
      <c r="H177">
        <v>241.05</v>
      </c>
      <c r="I177">
        <v>241.05</v>
      </c>
      <c r="J177">
        <v>0</v>
      </c>
      <c r="K177">
        <v>241.05</v>
      </c>
      <c r="L177">
        <v>0.1</v>
      </c>
      <c r="M177">
        <v>267.83333333333331</v>
      </c>
      <c r="N177" s="178">
        <v>44724</v>
      </c>
      <c r="O177" t="s">
        <v>456</v>
      </c>
    </row>
    <row r="178" spans="1:15" x14ac:dyDescent="0.2">
      <c r="A178" t="s">
        <v>444</v>
      </c>
      <c r="B178" t="s">
        <v>48</v>
      </c>
      <c r="D178">
        <v>1</v>
      </c>
      <c r="E178" t="s">
        <v>23</v>
      </c>
      <c r="G178" t="s">
        <v>771</v>
      </c>
      <c r="H178">
        <v>6.84</v>
      </c>
      <c r="I178">
        <v>6.84</v>
      </c>
      <c r="J178">
        <v>0</v>
      </c>
      <c r="K178">
        <v>6.84</v>
      </c>
      <c r="L178">
        <v>0.1</v>
      </c>
      <c r="M178">
        <v>7.6</v>
      </c>
      <c r="N178" s="178">
        <v>44763</v>
      </c>
      <c r="O178" t="s">
        <v>221</v>
      </c>
    </row>
    <row r="179" spans="1:15" x14ac:dyDescent="0.2">
      <c r="A179" t="s">
        <v>485</v>
      </c>
      <c r="B179" t="s">
        <v>19</v>
      </c>
      <c r="D179">
        <v>1</v>
      </c>
      <c r="E179" t="s">
        <v>23</v>
      </c>
      <c r="F179" t="s">
        <v>501</v>
      </c>
      <c r="G179" t="s">
        <v>502</v>
      </c>
      <c r="H179">
        <v>815.68</v>
      </c>
      <c r="I179">
        <v>815.68</v>
      </c>
      <c r="J179">
        <v>0</v>
      </c>
      <c r="K179">
        <v>815.68</v>
      </c>
      <c r="L179">
        <v>0.1</v>
      </c>
      <c r="M179">
        <v>906.31111111111102</v>
      </c>
      <c r="N179" s="178">
        <v>44699</v>
      </c>
      <c r="O179" t="s">
        <v>503</v>
      </c>
    </row>
    <row r="180" spans="1:15" x14ac:dyDescent="0.2">
      <c r="A180" t="s">
        <v>405</v>
      </c>
      <c r="B180" t="s">
        <v>772</v>
      </c>
      <c r="D180">
        <v>1</v>
      </c>
      <c r="E180" t="s">
        <v>23</v>
      </c>
      <c r="F180" t="s">
        <v>773</v>
      </c>
      <c r="G180" t="s">
        <v>774</v>
      </c>
      <c r="H180">
        <v>285.51</v>
      </c>
      <c r="I180">
        <v>285.51</v>
      </c>
      <c r="J180">
        <v>0</v>
      </c>
      <c r="K180">
        <v>285.51</v>
      </c>
      <c r="L180">
        <v>0.1</v>
      </c>
      <c r="M180">
        <v>317.23333333333329</v>
      </c>
      <c r="N180" s="178">
        <v>44740</v>
      </c>
      <c r="O180" t="s">
        <v>221</v>
      </c>
    </row>
    <row r="181" spans="1:15" x14ac:dyDescent="0.2">
      <c r="A181" t="s">
        <v>400</v>
      </c>
      <c r="B181" t="s">
        <v>18</v>
      </c>
      <c r="D181">
        <v>1</v>
      </c>
      <c r="E181" t="s">
        <v>23</v>
      </c>
      <c r="F181" t="s">
        <v>401</v>
      </c>
      <c r="G181" t="s">
        <v>402</v>
      </c>
      <c r="H181">
        <v>134.52000000000001</v>
      </c>
      <c r="I181">
        <v>134.52000000000001</v>
      </c>
      <c r="J181">
        <v>0.15</v>
      </c>
      <c r="K181">
        <v>154.69800000000001</v>
      </c>
      <c r="L181">
        <v>0.1</v>
      </c>
      <c r="M181">
        <v>171.88666666666668</v>
      </c>
      <c r="N181" s="178">
        <v>44602</v>
      </c>
      <c r="O181" t="s">
        <v>221</v>
      </c>
    </row>
    <row r="182" spans="1:15" x14ac:dyDescent="0.2">
      <c r="A182" t="s">
        <v>342</v>
      </c>
      <c r="B182" t="s">
        <v>18</v>
      </c>
      <c r="D182">
        <v>1</v>
      </c>
      <c r="E182" t="s">
        <v>23</v>
      </c>
      <c r="F182" t="s">
        <v>343</v>
      </c>
      <c r="G182" t="s">
        <v>344</v>
      </c>
      <c r="H182">
        <v>488.02</v>
      </c>
      <c r="I182">
        <v>488.02</v>
      </c>
      <c r="J182">
        <v>0</v>
      </c>
      <c r="K182">
        <v>488.02</v>
      </c>
      <c r="L182">
        <v>0.1</v>
      </c>
      <c r="M182">
        <v>542.24444444444441</v>
      </c>
      <c r="N182" s="178">
        <v>44643</v>
      </c>
      <c r="O182" t="s">
        <v>345</v>
      </c>
    </row>
    <row r="183" spans="1:15" x14ac:dyDescent="0.2">
      <c r="A183" t="s">
        <v>342</v>
      </c>
      <c r="B183" t="s">
        <v>19</v>
      </c>
      <c r="D183">
        <v>1</v>
      </c>
      <c r="E183" t="s">
        <v>23</v>
      </c>
      <c r="F183" t="s">
        <v>479</v>
      </c>
      <c r="G183" t="s">
        <v>480</v>
      </c>
      <c r="H183">
        <v>681.42</v>
      </c>
      <c r="I183">
        <v>681.42</v>
      </c>
      <c r="J183">
        <v>0</v>
      </c>
      <c r="K183">
        <v>681.42</v>
      </c>
      <c r="L183">
        <v>0.1</v>
      </c>
      <c r="M183">
        <v>757.13333333333333</v>
      </c>
      <c r="N183" s="178">
        <v>44698</v>
      </c>
      <c r="O183" t="s">
        <v>345</v>
      </c>
    </row>
    <row r="184" spans="1:15" x14ac:dyDescent="0.2">
      <c r="A184" t="s">
        <v>225</v>
      </c>
      <c r="B184" t="s">
        <v>19</v>
      </c>
      <c r="D184">
        <v>1</v>
      </c>
      <c r="E184" t="s">
        <v>23</v>
      </c>
      <c r="F184" t="s">
        <v>242</v>
      </c>
      <c r="G184" t="s">
        <v>243</v>
      </c>
      <c r="H184">
        <v>1727.46</v>
      </c>
      <c r="I184">
        <v>1727.46</v>
      </c>
      <c r="J184">
        <v>0</v>
      </c>
      <c r="K184">
        <v>1727.46</v>
      </c>
      <c r="L184">
        <v>0.1</v>
      </c>
      <c r="M184">
        <v>1919.4</v>
      </c>
      <c r="N184" s="178">
        <v>44355</v>
      </c>
      <c r="O184" t="s">
        <v>228</v>
      </c>
    </row>
    <row r="185" spans="1:15" x14ac:dyDescent="0.2">
      <c r="A185" t="s">
        <v>588</v>
      </c>
      <c r="B185" t="s">
        <v>19</v>
      </c>
      <c r="D185">
        <v>1</v>
      </c>
      <c r="E185" t="s">
        <v>23</v>
      </c>
      <c r="F185" t="s">
        <v>775</v>
      </c>
      <c r="G185" t="s">
        <v>776</v>
      </c>
      <c r="H185">
        <v>286</v>
      </c>
      <c r="I185">
        <v>286</v>
      </c>
      <c r="J185">
        <v>0</v>
      </c>
      <c r="K185">
        <v>286</v>
      </c>
      <c r="L185">
        <v>0.1</v>
      </c>
      <c r="M185">
        <v>317.77777777777777</v>
      </c>
      <c r="N185" s="178">
        <v>44762</v>
      </c>
      <c r="O185" t="s">
        <v>588</v>
      </c>
    </row>
    <row r="186" spans="1:15" x14ac:dyDescent="0.2">
      <c r="A186" t="s">
        <v>405</v>
      </c>
      <c r="B186" t="s">
        <v>18</v>
      </c>
      <c r="D186">
        <v>1</v>
      </c>
      <c r="E186" t="s">
        <v>23</v>
      </c>
      <c r="F186" t="s">
        <v>406</v>
      </c>
      <c r="G186" t="s">
        <v>407</v>
      </c>
      <c r="H186">
        <v>2157.84</v>
      </c>
      <c r="I186">
        <v>2157.84</v>
      </c>
      <c r="J186">
        <v>0</v>
      </c>
      <c r="K186">
        <v>2157.84</v>
      </c>
      <c r="L186">
        <v>0.1</v>
      </c>
      <c r="M186">
        <v>2397.6</v>
      </c>
      <c r="N186" s="178">
        <v>44671</v>
      </c>
      <c r="O186" t="s">
        <v>408</v>
      </c>
    </row>
    <row r="187" spans="1:15" x14ac:dyDescent="0.2">
      <c r="A187" t="s">
        <v>405</v>
      </c>
      <c r="B187" t="s">
        <v>18</v>
      </c>
      <c r="D187">
        <v>1</v>
      </c>
      <c r="E187" t="s">
        <v>23</v>
      </c>
      <c r="F187" t="s">
        <v>409</v>
      </c>
      <c r="G187" t="s">
        <v>410</v>
      </c>
      <c r="H187">
        <v>500.75</v>
      </c>
      <c r="I187">
        <v>500.75</v>
      </c>
      <c r="J187">
        <v>0</v>
      </c>
      <c r="K187">
        <v>500.75</v>
      </c>
      <c r="L187">
        <v>0.1</v>
      </c>
      <c r="M187">
        <v>556.38888888888891</v>
      </c>
      <c r="N187" s="178">
        <v>44671</v>
      </c>
      <c r="O187" t="s">
        <v>408</v>
      </c>
    </row>
    <row r="188" spans="1:15" x14ac:dyDescent="0.2">
      <c r="A188" t="s">
        <v>283</v>
      </c>
      <c r="B188" t="s">
        <v>772</v>
      </c>
      <c r="D188">
        <v>1</v>
      </c>
      <c r="E188" t="s">
        <v>23</v>
      </c>
      <c r="F188" t="s">
        <v>777</v>
      </c>
      <c r="G188" t="s">
        <v>778</v>
      </c>
      <c r="H188">
        <v>260.10000000000002</v>
      </c>
      <c r="I188">
        <v>260.10000000000002</v>
      </c>
      <c r="J188">
        <v>9.7500000000000003E-2</v>
      </c>
      <c r="K188">
        <v>285.45975000000004</v>
      </c>
      <c r="L188">
        <v>0.1</v>
      </c>
      <c r="M188">
        <v>317.17750000000007</v>
      </c>
      <c r="N188" s="178">
        <v>44746</v>
      </c>
      <c r="O188" t="s">
        <v>283</v>
      </c>
    </row>
    <row r="189" spans="1:15" x14ac:dyDescent="0.2">
      <c r="A189" t="s">
        <v>485</v>
      </c>
      <c r="B189" t="s">
        <v>19</v>
      </c>
      <c r="D189">
        <v>1</v>
      </c>
      <c r="E189" t="s">
        <v>23</v>
      </c>
      <c r="F189" t="s">
        <v>779</v>
      </c>
      <c r="G189" t="s">
        <v>780</v>
      </c>
      <c r="H189">
        <v>468.74</v>
      </c>
      <c r="I189">
        <v>468.74</v>
      </c>
      <c r="J189">
        <v>0</v>
      </c>
      <c r="K189">
        <v>468.74</v>
      </c>
      <c r="L189">
        <v>0.1</v>
      </c>
      <c r="M189">
        <v>520.82222222222219</v>
      </c>
      <c r="N189" s="178">
        <v>44823</v>
      </c>
      <c r="O189" t="s">
        <v>221</v>
      </c>
    </row>
    <row r="190" spans="1:15" x14ac:dyDescent="0.2">
      <c r="A190" t="s">
        <v>485</v>
      </c>
      <c r="B190" t="s">
        <v>19</v>
      </c>
      <c r="D190">
        <v>1</v>
      </c>
      <c r="E190" t="s">
        <v>23</v>
      </c>
      <c r="F190" t="s">
        <v>781</v>
      </c>
      <c r="G190" t="s">
        <v>782</v>
      </c>
      <c r="H190">
        <v>620.35</v>
      </c>
      <c r="I190">
        <v>620.35</v>
      </c>
      <c r="J190">
        <v>0</v>
      </c>
      <c r="K190">
        <v>620.35</v>
      </c>
      <c r="L190">
        <v>0.1</v>
      </c>
      <c r="M190">
        <v>689.27777777777783</v>
      </c>
      <c r="N190" s="178">
        <v>44823</v>
      </c>
      <c r="O190" t="s">
        <v>221</v>
      </c>
    </row>
    <row r="191" spans="1:15" x14ac:dyDescent="0.2">
      <c r="A191" t="s">
        <v>342</v>
      </c>
      <c r="B191" t="s">
        <v>19</v>
      </c>
      <c r="D191">
        <v>1</v>
      </c>
      <c r="E191" t="s">
        <v>23</v>
      </c>
      <c r="F191" t="s">
        <v>208</v>
      </c>
      <c r="G191" t="s">
        <v>209</v>
      </c>
      <c r="H191">
        <v>2095.0700000000002</v>
      </c>
      <c r="I191">
        <v>2095.0700000000002</v>
      </c>
      <c r="J191">
        <v>0</v>
      </c>
      <c r="K191">
        <v>2095.0700000000002</v>
      </c>
      <c r="L191">
        <v>0.1</v>
      </c>
      <c r="M191">
        <v>2327.8555555555558</v>
      </c>
      <c r="N191" s="178">
        <v>44461</v>
      </c>
      <c r="O191" t="s">
        <v>345</v>
      </c>
    </row>
    <row r="192" spans="1:15" x14ac:dyDescent="0.2">
      <c r="A192" t="s">
        <v>283</v>
      </c>
      <c r="B192" t="s">
        <v>19</v>
      </c>
      <c r="D192">
        <v>1</v>
      </c>
      <c r="E192" t="s">
        <v>23</v>
      </c>
      <c r="F192" t="s">
        <v>294</v>
      </c>
      <c r="G192" t="s">
        <v>295</v>
      </c>
      <c r="H192">
        <v>624.02</v>
      </c>
      <c r="I192">
        <v>624.02</v>
      </c>
      <c r="J192">
        <v>0.1125</v>
      </c>
      <c r="K192">
        <v>694.22225000000003</v>
      </c>
      <c r="L192">
        <v>0.1</v>
      </c>
      <c r="M192">
        <v>771.35805555555555</v>
      </c>
      <c r="N192" s="178">
        <v>44623</v>
      </c>
      <c r="O192" t="s">
        <v>283</v>
      </c>
    </row>
    <row r="193" spans="1:15" x14ac:dyDescent="0.2">
      <c r="A193" t="s">
        <v>603</v>
      </c>
      <c r="B193" t="s">
        <v>19</v>
      </c>
      <c r="D193">
        <v>1</v>
      </c>
      <c r="E193" t="s">
        <v>23</v>
      </c>
      <c r="F193" t="s">
        <v>783</v>
      </c>
      <c r="G193" t="s">
        <v>784</v>
      </c>
      <c r="H193">
        <v>4665</v>
      </c>
      <c r="I193">
        <v>4665</v>
      </c>
      <c r="J193">
        <v>9.7500000000000003E-2</v>
      </c>
      <c r="K193">
        <v>5119.8374999999996</v>
      </c>
      <c r="L193">
        <v>0.1</v>
      </c>
      <c r="M193">
        <v>5688.708333333333</v>
      </c>
      <c r="N193" s="178">
        <v>44782</v>
      </c>
      <c r="O193" t="s">
        <v>606</v>
      </c>
    </row>
    <row r="194" spans="1:15" x14ac:dyDescent="0.2">
      <c r="A194" t="s">
        <v>603</v>
      </c>
      <c r="B194" t="s">
        <v>19</v>
      </c>
      <c r="D194">
        <v>1</v>
      </c>
      <c r="E194" t="s">
        <v>23</v>
      </c>
      <c r="F194" t="s">
        <v>785</v>
      </c>
      <c r="G194" t="s">
        <v>784</v>
      </c>
      <c r="H194">
        <v>2659</v>
      </c>
      <c r="I194">
        <v>2659</v>
      </c>
      <c r="J194">
        <v>9.7500000000000003E-2</v>
      </c>
      <c r="K194">
        <v>2918.2525000000001</v>
      </c>
      <c r="L194">
        <v>0.1</v>
      </c>
      <c r="M194">
        <v>3242.5027777777777</v>
      </c>
      <c r="N194" s="178">
        <v>44782</v>
      </c>
      <c r="O194" t="s">
        <v>606</v>
      </c>
    </row>
    <row r="195" spans="1:15" x14ac:dyDescent="0.2">
      <c r="A195" t="s">
        <v>603</v>
      </c>
      <c r="B195" t="s">
        <v>19</v>
      </c>
      <c r="D195">
        <v>1</v>
      </c>
      <c r="E195" t="s">
        <v>23</v>
      </c>
      <c r="F195" t="s">
        <v>786</v>
      </c>
      <c r="G195" t="s">
        <v>787</v>
      </c>
      <c r="H195">
        <v>5276</v>
      </c>
      <c r="I195">
        <v>5276</v>
      </c>
      <c r="J195">
        <v>9.7500000000000003E-2</v>
      </c>
      <c r="K195">
        <v>5790.41</v>
      </c>
      <c r="L195">
        <v>0.1</v>
      </c>
      <c r="M195">
        <v>6433.7888888888883</v>
      </c>
      <c r="N195" s="178">
        <v>44782</v>
      </c>
      <c r="O195" t="s">
        <v>606</v>
      </c>
    </row>
    <row r="196" spans="1:15" x14ac:dyDescent="0.2">
      <c r="A196" t="s">
        <v>603</v>
      </c>
      <c r="B196" t="s">
        <v>6</v>
      </c>
      <c r="D196">
        <v>1</v>
      </c>
      <c r="E196" t="s">
        <v>23</v>
      </c>
      <c r="F196" t="s">
        <v>788</v>
      </c>
      <c r="G196" t="s">
        <v>787</v>
      </c>
      <c r="H196">
        <v>7533</v>
      </c>
      <c r="I196">
        <v>7533</v>
      </c>
      <c r="J196">
        <v>6.5000000000000002E-2</v>
      </c>
      <c r="K196">
        <v>8022.6450000000004</v>
      </c>
      <c r="L196">
        <v>0.1</v>
      </c>
      <c r="M196">
        <v>8914.0500000000011</v>
      </c>
      <c r="N196" s="178">
        <v>44782</v>
      </c>
      <c r="O196" t="s">
        <v>606</v>
      </c>
    </row>
    <row r="197" spans="1:15" x14ac:dyDescent="0.2">
      <c r="A197" t="s">
        <v>432</v>
      </c>
      <c r="B197" t="s">
        <v>5</v>
      </c>
      <c r="D197">
        <v>1</v>
      </c>
      <c r="E197" t="s">
        <v>23</v>
      </c>
      <c r="F197" t="s">
        <v>433</v>
      </c>
      <c r="G197" t="s">
        <v>434</v>
      </c>
      <c r="H197">
        <v>76.55</v>
      </c>
      <c r="I197">
        <v>76.55</v>
      </c>
      <c r="J197">
        <v>0.1</v>
      </c>
      <c r="K197">
        <v>84.204999999999998</v>
      </c>
      <c r="L197">
        <v>0.1</v>
      </c>
      <c r="M197">
        <v>93.561111111111103</v>
      </c>
      <c r="N197" s="178">
        <v>44671</v>
      </c>
      <c r="O197" t="s">
        <v>221</v>
      </c>
    </row>
    <row r="198" spans="1:15" x14ac:dyDescent="0.2">
      <c r="A198" t="s">
        <v>342</v>
      </c>
      <c r="B198" t="s">
        <v>20</v>
      </c>
      <c r="D198">
        <v>1</v>
      </c>
      <c r="E198" t="s">
        <v>23</v>
      </c>
      <c r="F198" t="s">
        <v>357</v>
      </c>
      <c r="G198" t="s">
        <v>358</v>
      </c>
      <c r="H198">
        <v>14027</v>
      </c>
      <c r="I198">
        <v>14027</v>
      </c>
      <c r="J198">
        <v>0</v>
      </c>
      <c r="K198">
        <v>14027</v>
      </c>
      <c r="L198">
        <v>0.1</v>
      </c>
      <c r="M198">
        <v>15585.555555555555</v>
      </c>
      <c r="N198" s="178">
        <v>44671</v>
      </c>
      <c r="O198" t="s">
        <v>345</v>
      </c>
    </row>
    <row r="199" spans="1:15" x14ac:dyDescent="0.2">
      <c r="A199" t="s">
        <v>283</v>
      </c>
      <c r="B199" t="s">
        <v>20</v>
      </c>
      <c r="D199">
        <v>1</v>
      </c>
      <c r="E199" t="s">
        <v>23</v>
      </c>
      <c r="F199" t="s">
        <v>789</v>
      </c>
      <c r="G199" t="s">
        <v>790</v>
      </c>
      <c r="H199">
        <v>2282.79</v>
      </c>
      <c r="I199">
        <v>2282.79</v>
      </c>
      <c r="J199">
        <v>9.7500000000000003E-2</v>
      </c>
      <c r="K199">
        <v>2505.3620249999999</v>
      </c>
      <c r="L199">
        <v>0.1</v>
      </c>
      <c r="M199">
        <v>2783.7355833333331</v>
      </c>
      <c r="N199" s="178">
        <v>44746</v>
      </c>
      <c r="O199" t="s">
        <v>283</v>
      </c>
    </row>
    <row r="200" spans="1:15" x14ac:dyDescent="0.2">
      <c r="A200" t="s">
        <v>283</v>
      </c>
      <c r="B200" t="s">
        <v>20</v>
      </c>
      <c r="D200">
        <v>1</v>
      </c>
      <c r="E200" t="s">
        <v>23</v>
      </c>
      <c r="F200" t="s">
        <v>791</v>
      </c>
      <c r="G200" t="s">
        <v>792</v>
      </c>
      <c r="H200">
        <v>4113.4799999999996</v>
      </c>
      <c r="I200">
        <v>4113.4799999999996</v>
      </c>
      <c r="J200">
        <v>9.7500000000000003E-2</v>
      </c>
      <c r="K200">
        <v>4514.5442999999996</v>
      </c>
      <c r="L200">
        <v>0.1</v>
      </c>
      <c r="M200">
        <v>5016.1603333333323</v>
      </c>
      <c r="N200" s="178">
        <v>44746</v>
      </c>
      <c r="O200" t="s">
        <v>283</v>
      </c>
    </row>
    <row r="201" spans="1:15" x14ac:dyDescent="0.2">
      <c r="A201" t="s">
        <v>283</v>
      </c>
      <c r="B201" t="s">
        <v>20</v>
      </c>
      <c r="D201">
        <v>1</v>
      </c>
      <c r="E201" t="s">
        <v>23</v>
      </c>
      <c r="F201" t="s">
        <v>304</v>
      </c>
      <c r="G201" t="s">
        <v>305</v>
      </c>
      <c r="H201">
        <v>3200.24</v>
      </c>
      <c r="I201">
        <v>3200.24</v>
      </c>
      <c r="J201">
        <v>0.1125</v>
      </c>
      <c r="K201">
        <v>3560.2669999999998</v>
      </c>
      <c r="L201">
        <v>0.1</v>
      </c>
      <c r="M201">
        <v>3955.8522222222218</v>
      </c>
      <c r="N201" s="178">
        <v>44623</v>
      </c>
      <c r="O201" t="s">
        <v>283</v>
      </c>
    </row>
    <row r="202" spans="1:15" x14ac:dyDescent="0.2">
      <c r="A202" t="s">
        <v>283</v>
      </c>
      <c r="B202" t="s">
        <v>20</v>
      </c>
      <c r="D202">
        <v>1</v>
      </c>
      <c r="E202" t="s">
        <v>23</v>
      </c>
      <c r="F202" t="s">
        <v>306</v>
      </c>
      <c r="G202" t="s">
        <v>307</v>
      </c>
      <c r="H202">
        <v>6820.63</v>
      </c>
      <c r="I202">
        <v>6820.63</v>
      </c>
      <c r="J202">
        <v>0.11</v>
      </c>
      <c r="K202">
        <v>7570.8993</v>
      </c>
      <c r="L202">
        <v>0.1</v>
      </c>
      <c r="M202">
        <v>8412.110333333334</v>
      </c>
      <c r="N202" s="178">
        <v>44623</v>
      </c>
      <c r="O202" t="s">
        <v>283</v>
      </c>
    </row>
    <row r="203" spans="1:15" x14ac:dyDescent="0.2">
      <c r="A203" t="s">
        <v>405</v>
      </c>
      <c r="B203" t="s">
        <v>20</v>
      </c>
      <c r="D203">
        <v>1</v>
      </c>
      <c r="E203" t="s">
        <v>23</v>
      </c>
      <c r="F203" t="s">
        <v>411</v>
      </c>
      <c r="G203" t="s">
        <v>412</v>
      </c>
      <c r="H203">
        <v>7025.22</v>
      </c>
      <c r="I203">
        <v>7025.22</v>
      </c>
      <c r="J203">
        <v>0</v>
      </c>
      <c r="K203">
        <v>7025.22</v>
      </c>
      <c r="L203">
        <v>0.1</v>
      </c>
      <c r="M203">
        <v>7805.8</v>
      </c>
      <c r="N203" s="178">
        <v>44671</v>
      </c>
      <c r="O203" t="s">
        <v>408</v>
      </c>
    </row>
    <row r="204" spans="1:15" x14ac:dyDescent="0.2">
      <c r="A204" t="s">
        <v>440</v>
      </c>
      <c r="B204" t="s">
        <v>79</v>
      </c>
      <c r="D204">
        <v>1</v>
      </c>
      <c r="E204" t="s">
        <v>23</v>
      </c>
      <c r="F204" t="s">
        <v>441</v>
      </c>
      <c r="G204" t="s">
        <v>442</v>
      </c>
      <c r="H204">
        <v>13500</v>
      </c>
      <c r="I204">
        <v>13500</v>
      </c>
      <c r="J204">
        <v>0.15</v>
      </c>
      <c r="K204">
        <v>15525</v>
      </c>
      <c r="L204">
        <v>0.1</v>
      </c>
      <c r="M204">
        <v>17250</v>
      </c>
      <c r="N204" s="178">
        <v>44655</v>
      </c>
      <c r="O204" t="s">
        <v>443</v>
      </c>
    </row>
    <row r="205" spans="1:15" x14ac:dyDescent="0.2">
      <c r="A205" t="s">
        <v>277</v>
      </c>
      <c r="B205" t="s">
        <v>5</v>
      </c>
      <c r="D205">
        <v>1</v>
      </c>
      <c r="E205" t="s">
        <v>23</v>
      </c>
      <c r="F205" t="s">
        <v>793</v>
      </c>
      <c r="G205" t="s">
        <v>794</v>
      </c>
      <c r="H205">
        <v>363.48</v>
      </c>
      <c r="I205">
        <v>363.48</v>
      </c>
      <c r="J205">
        <v>3.2500000000000001E-2</v>
      </c>
      <c r="K205">
        <v>375.29310000000004</v>
      </c>
      <c r="L205">
        <v>0.1</v>
      </c>
      <c r="M205">
        <v>416.99233333333336</v>
      </c>
      <c r="N205" s="178">
        <v>44816</v>
      </c>
      <c r="O205" t="s">
        <v>277</v>
      </c>
    </row>
    <row r="206" spans="1:15" x14ac:dyDescent="0.2">
      <c r="A206" t="s">
        <v>277</v>
      </c>
      <c r="B206" t="s">
        <v>48</v>
      </c>
      <c r="D206">
        <v>1</v>
      </c>
      <c r="E206" t="s">
        <v>23</v>
      </c>
      <c r="F206" t="s">
        <v>278</v>
      </c>
      <c r="G206" t="s">
        <v>279</v>
      </c>
      <c r="H206">
        <v>363.48</v>
      </c>
      <c r="I206">
        <v>363.48</v>
      </c>
      <c r="J206">
        <v>3.2500000000000001E-2</v>
      </c>
      <c r="K206">
        <v>375.29310000000004</v>
      </c>
      <c r="L206">
        <v>0.1</v>
      </c>
      <c r="M206">
        <v>416.99233333333336</v>
      </c>
      <c r="N206" s="178">
        <v>44816</v>
      </c>
      <c r="O206" t="s">
        <v>277</v>
      </c>
    </row>
    <row r="207" spans="1:15" x14ac:dyDescent="0.2">
      <c r="A207" t="s">
        <v>603</v>
      </c>
      <c r="B207" t="s">
        <v>6</v>
      </c>
      <c r="D207">
        <v>1</v>
      </c>
      <c r="E207" t="s">
        <v>23</v>
      </c>
      <c r="F207" t="s">
        <v>795</v>
      </c>
      <c r="G207" t="s">
        <v>796</v>
      </c>
      <c r="H207">
        <v>449</v>
      </c>
      <c r="I207">
        <v>449</v>
      </c>
      <c r="J207">
        <v>6.5000000000000002E-2</v>
      </c>
      <c r="K207">
        <v>478.185</v>
      </c>
      <c r="L207">
        <v>0.1</v>
      </c>
      <c r="M207">
        <v>531.31666666666661</v>
      </c>
      <c r="N207" s="178">
        <v>44782</v>
      </c>
      <c r="O207" t="s">
        <v>606</v>
      </c>
    </row>
    <row r="208" spans="1:15" x14ac:dyDescent="0.2">
      <c r="A208" t="s">
        <v>603</v>
      </c>
      <c r="B208" t="s">
        <v>6</v>
      </c>
      <c r="D208">
        <v>1</v>
      </c>
      <c r="E208" t="s">
        <v>23</v>
      </c>
      <c r="F208" t="s">
        <v>797</v>
      </c>
      <c r="G208" t="s">
        <v>798</v>
      </c>
      <c r="H208">
        <v>449</v>
      </c>
      <c r="I208">
        <v>449</v>
      </c>
      <c r="J208">
        <v>6.5000000000000002E-2</v>
      </c>
      <c r="K208">
        <v>478.185</v>
      </c>
      <c r="L208">
        <v>0.1</v>
      </c>
      <c r="M208">
        <v>531.31666666666661</v>
      </c>
      <c r="N208" s="178">
        <v>44782</v>
      </c>
      <c r="O208" t="s">
        <v>606</v>
      </c>
    </row>
    <row r="209" spans="1:15" x14ac:dyDescent="0.2">
      <c r="A209" t="s">
        <v>603</v>
      </c>
      <c r="B209" t="s">
        <v>6</v>
      </c>
      <c r="D209">
        <v>1</v>
      </c>
      <c r="E209" t="s">
        <v>23</v>
      </c>
      <c r="F209" t="s">
        <v>799</v>
      </c>
      <c r="G209" t="s">
        <v>800</v>
      </c>
      <c r="H209">
        <v>449</v>
      </c>
      <c r="I209">
        <v>449</v>
      </c>
      <c r="J209">
        <v>6.5000000000000002E-2</v>
      </c>
      <c r="K209">
        <v>478.185</v>
      </c>
      <c r="L209">
        <v>0.1</v>
      </c>
      <c r="M209">
        <v>531.31666666666661</v>
      </c>
      <c r="N209" s="178">
        <v>44782</v>
      </c>
      <c r="O209" t="s">
        <v>606</v>
      </c>
    </row>
    <row r="210" spans="1:15" x14ac:dyDescent="0.2">
      <c r="A210" t="s">
        <v>603</v>
      </c>
      <c r="B210" t="s">
        <v>6</v>
      </c>
      <c r="D210">
        <v>1</v>
      </c>
      <c r="E210" t="s">
        <v>23</v>
      </c>
      <c r="F210" t="s">
        <v>801</v>
      </c>
      <c r="G210" t="s">
        <v>802</v>
      </c>
      <c r="H210">
        <v>449</v>
      </c>
      <c r="I210">
        <v>449</v>
      </c>
      <c r="J210">
        <v>6.5000000000000002E-2</v>
      </c>
      <c r="K210">
        <v>478.185</v>
      </c>
      <c r="L210">
        <v>0.1</v>
      </c>
      <c r="M210">
        <v>531.31666666666661</v>
      </c>
      <c r="N210" s="178">
        <v>44782</v>
      </c>
      <c r="O210" t="s">
        <v>606</v>
      </c>
    </row>
    <row r="211" spans="1:15" x14ac:dyDescent="0.2">
      <c r="A211" t="s">
        <v>603</v>
      </c>
      <c r="B211" t="s">
        <v>6</v>
      </c>
      <c r="D211">
        <v>1</v>
      </c>
      <c r="E211" t="s">
        <v>23</v>
      </c>
      <c r="F211" t="s">
        <v>803</v>
      </c>
      <c r="G211" t="s">
        <v>804</v>
      </c>
      <c r="H211">
        <v>449</v>
      </c>
      <c r="I211">
        <v>449</v>
      </c>
      <c r="J211">
        <v>6.5000000000000002E-2</v>
      </c>
      <c r="K211">
        <v>478.185</v>
      </c>
      <c r="L211">
        <v>0.1</v>
      </c>
      <c r="M211">
        <v>531.31666666666661</v>
      </c>
      <c r="N211" s="178">
        <v>44782</v>
      </c>
      <c r="O211" t="s">
        <v>606</v>
      </c>
    </row>
    <row r="212" spans="1:15" x14ac:dyDescent="0.2">
      <c r="A212" t="s">
        <v>342</v>
      </c>
      <c r="B212" t="s">
        <v>19</v>
      </c>
      <c r="D212">
        <v>1</v>
      </c>
      <c r="E212" t="s">
        <v>23</v>
      </c>
      <c r="F212" t="s">
        <v>805</v>
      </c>
      <c r="G212" t="s">
        <v>806</v>
      </c>
      <c r="H212">
        <v>2583.4499999999998</v>
      </c>
      <c r="I212">
        <v>2583.4499999999998</v>
      </c>
      <c r="J212">
        <v>0</v>
      </c>
      <c r="K212">
        <v>2583.4499999999998</v>
      </c>
      <c r="L212">
        <v>0.1</v>
      </c>
      <c r="M212">
        <v>2870.4999999999995</v>
      </c>
      <c r="N212" s="178">
        <v>44806</v>
      </c>
      <c r="O212" t="s">
        <v>345</v>
      </c>
    </row>
    <row r="213" spans="1:15" x14ac:dyDescent="0.2">
      <c r="A213" t="s">
        <v>342</v>
      </c>
      <c r="B213" t="s">
        <v>19</v>
      </c>
      <c r="D213">
        <v>1</v>
      </c>
      <c r="E213" t="s">
        <v>23</v>
      </c>
      <c r="F213" t="s">
        <v>219</v>
      </c>
      <c r="G213" t="s">
        <v>220</v>
      </c>
      <c r="H213">
        <v>416.76</v>
      </c>
      <c r="I213">
        <v>416.76</v>
      </c>
      <c r="J213">
        <v>0</v>
      </c>
      <c r="K213">
        <v>416.76</v>
      </c>
      <c r="L213">
        <v>0.1</v>
      </c>
      <c r="M213">
        <v>463.06666666666666</v>
      </c>
      <c r="N213" s="178">
        <v>44671</v>
      </c>
      <c r="O213" t="s">
        <v>345</v>
      </c>
    </row>
    <row r="214" spans="1:15" x14ac:dyDescent="0.2">
      <c r="A214" t="s">
        <v>342</v>
      </c>
      <c r="B214" t="s">
        <v>19</v>
      </c>
      <c r="D214">
        <v>1</v>
      </c>
      <c r="E214" t="s">
        <v>23</v>
      </c>
      <c r="F214" t="s">
        <v>469</v>
      </c>
      <c r="G214" t="s">
        <v>470</v>
      </c>
      <c r="H214">
        <v>416.76</v>
      </c>
      <c r="I214">
        <v>416.76</v>
      </c>
      <c r="J214">
        <v>0</v>
      </c>
      <c r="K214">
        <v>416.76</v>
      </c>
      <c r="L214">
        <v>0.1</v>
      </c>
      <c r="M214">
        <v>463.06666666666666</v>
      </c>
      <c r="N214" s="178">
        <v>44698</v>
      </c>
      <c r="O214" t="s">
        <v>345</v>
      </c>
    </row>
    <row r="215" spans="1:15" x14ac:dyDescent="0.2">
      <c r="A215" t="s">
        <v>588</v>
      </c>
      <c r="B215" t="s">
        <v>19</v>
      </c>
      <c r="D215">
        <v>1</v>
      </c>
      <c r="E215" t="s">
        <v>23</v>
      </c>
      <c r="F215" t="s">
        <v>807</v>
      </c>
      <c r="G215" t="s">
        <v>808</v>
      </c>
      <c r="H215">
        <v>4072.54</v>
      </c>
      <c r="I215">
        <v>4072.54</v>
      </c>
      <c r="J215">
        <v>0</v>
      </c>
      <c r="K215">
        <v>4072.54</v>
      </c>
      <c r="L215">
        <v>0.1</v>
      </c>
      <c r="M215">
        <v>4525.0444444444447</v>
      </c>
      <c r="N215" s="178">
        <v>44762</v>
      </c>
      <c r="O215" t="s">
        <v>588</v>
      </c>
    </row>
    <row r="216" spans="1:15" x14ac:dyDescent="0.2">
      <c r="A216" t="s">
        <v>283</v>
      </c>
      <c r="B216" t="s">
        <v>19</v>
      </c>
      <c r="D216">
        <v>1</v>
      </c>
      <c r="E216" t="s">
        <v>23</v>
      </c>
      <c r="F216" t="s">
        <v>809</v>
      </c>
      <c r="G216" t="s">
        <v>810</v>
      </c>
      <c r="H216">
        <v>1599.35</v>
      </c>
      <c r="I216">
        <v>1599.35</v>
      </c>
      <c r="J216">
        <v>9.7500000000000003E-2</v>
      </c>
      <c r="K216">
        <v>1755.286625</v>
      </c>
      <c r="L216">
        <v>0.1</v>
      </c>
      <c r="M216">
        <v>1950.3184722222222</v>
      </c>
      <c r="N216" s="178">
        <v>44818</v>
      </c>
      <c r="O216" t="s">
        <v>283</v>
      </c>
    </row>
    <row r="217" spans="1:15" x14ac:dyDescent="0.2">
      <c r="A217" t="s">
        <v>485</v>
      </c>
      <c r="B217" t="s">
        <v>49</v>
      </c>
      <c r="D217">
        <v>1</v>
      </c>
      <c r="E217" t="s">
        <v>23</v>
      </c>
      <c r="F217" t="s">
        <v>811</v>
      </c>
      <c r="G217" t="s">
        <v>812</v>
      </c>
      <c r="H217">
        <v>1851.12</v>
      </c>
      <c r="I217">
        <v>1851.12</v>
      </c>
      <c r="J217">
        <v>0</v>
      </c>
      <c r="K217">
        <v>1851.12</v>
      </c>
      <c r="L217">
        <v>0.1</v>
      </c>
      <c r="M217">
        <v>2056.7999999999997</v>
      </c>
      <c r="N217" s="178">
        <v>44762</v>
      </c>
      <c r="O217" t="s">
        <v>503</v>
      </c>
    </row>
    <row r="218" spans="1:15" x14ac:dyDescent="0.2">
      <c r="A218" t="s">
        <v>405</v>
      </c>
      <c r="B218" t="s">
        <v>49</v>
      </c>
      <c r="D218">
        <v>1</v>
      </c>
      <c r="E218" t="s">
        <v>23</v>
      </c>
      <c r="F218" t="s">
        <v>813</v>
      </c>
      <c r="G218" t="s">
        <v>814</v>
      </c>
      <c r="H218">
        <v>4395.66</v>
      </c>
      <c r="I218">
        <v>4395.66</v>
      </c>
      <c r="J218">
        <v>0</v>
      </c>
      <c r="K218">
        <v>4395.66</v>
      </c>
      <c r="L218">
        <v>0.1</v>
      </c>
      <c r="M218">
        <v>4884.0666666666666</v>
      </c>
      <c r="N218" s="178">
        <v>44762</v>
      </c>
      <c r="O218" t="s">
        <v>503</v>
      </c>
    </row>
    <row r="219" spans="1:15" x14ac:dyDescent="0.2">
      <c r="A219" t="s">
        <v>405</v>
      </c>
      <c r="B219" t="s">
        <v>49</v>
      </c>
      <c r="D219">
        <v>1</v>
      </c>
      <c r="E219" t="s">
        <v>23</v>
      </c>
      <c r="F219" t="s">
        <v>815</v>
      </c>
      <c r="G219" t="s">
        <v>816</v>
      </c>
      <c r="H219">
        <v>5927.96</v>
      </c>
      <c r="I219">
        <v>5927.96</v>
      </c>
      <c r="J219">
        <v>0</v>
      </c>
      <c r="K219">
        <v>5927.96</v>
      </c>
      <c r="L219">
        <v>0.1</v>
      </c>
      <c r="M219">
        <v>6586.6222222222223</v>
      </c>
      <c r="N219" s="178">
        <v>44762</v>
      </c>
      <c r="O219" t="s">
        <v>503</v>
      </c>
    </row>
    <row r="220" spans="1:15" x14ac:dyDescent="0.2">
      <c r="A220" t="s">
        <v>405</v>
      </c>
      <c r="B220" t="s">
        <v>49</v>
      </c>
      <c r="D220">
        <v>1</v>
      </c>
      <c r="E220" t="s">
        <v>23</v>
      </c>
      <c r="F220" t="s">
        <v>817</v>
      </c>
      <c r="G220" t="s">
        <v>818</v>
      </c>
      <c r="H220">
        <v>7245.65</v>
      </c>
      <c r="I220">
        <v>7245.65</v>
      </c>
      <c r="J220">
        <v>0</v>
      </c>
      <c r="K220">
        <v>7245.65</v>
      </c>
      <c r="L220">
        <v>0.1</v>
      </c>
      <c r="M220">
        <v>8050.7222222222217</v>
      </c>
      <c r="N220" s="178">
        <v>44762</v>
      </c>
      <c r="O220" t="s">
        <v>503</v>
      </c>
    </row>
    <row r="221" spans="1:15" x14ac:dyDescent="0.2">
      <c r="A221" t="s">
        <v>405</v>
      </c>
      <c r="B221" t="s">
        <v>49</v>
      </c>
      <c r="D221">
        <v>1</v>
      </c>
      <c r="E221" t="s">
        <v>23</v>
      </c>
      <c r="F221" t="s">
        <v>819</v>
      </c>
      <c r="G221" t="s">
        <v>820</v>
      </c>
      <c r="H221">
        <v>9849.26</v>
      </c>
      <c r="I221">
        <v>9849.26</v>
      </c>
      <c r="J221">
        <v>0</v>
      </c>
      <c r="K221">
        <v>9849.26</v>
      </c>
      <c r="L221">
        <v>0.1</v>
      </c>
      <c r="M221">
        <v>10943.622222222222</v>
      </c>
      <c r="N221" s="178">
        <v>44762</v>
      </c>
      <c r="O221" t="s">
        <v>503</v>
      </c>
    </row>
    <row r="222" spans="1:15" x14ac:dyDescent="0.2">
      <c r="A222" t="s">
        <v>405</v>
      </c>
      <c r="B222" t="s">
        <v>49</v>
      </c>
      <c r="D222">
        <v>1</v>
      </c>
      <c r="E222" t="s">
        <v>23</v>
      </c>
      <c r="F222" t="s">
        <v>821</v>
      </c>
      <c r="G222" t="s">
        <v>822</v>
      </c>
      <c r="H222">
        <v>3117.89</v>
      </c>
      <c r="I222">
        <v>3117.89</v>
      </c>
      <c r="J222">
        <v>0</v>
      </c>
      <c r="K222">
        <v>3117.89</v>
      </c>
      <c r="L222">
        <v>0.1</v>
      </c>
      <c r="M222">
        <v>3464.3222222222221</v>
      </c>
      <c r="N222" s="178">
        <v>44762</v>
      </c>
      <c r="O222" t="s">
        <v>503</v>
      </c>
    </row>
    <row r="223" spans="1:15" x14ac:dyDescent="0.2">
      <c r="A223" t="s">
        <v>485</v>
      </c>
      <c r="B223" t="s">
        <v>49</v>
      </c>
      <c r="D223">
        <v>1</v>
      </c>
      <c r="E223" t="s">
        <v>23</v>
      </c>
      <c r="F223" t="s">
        <v>823</v>
      </c>
      <c r="G223" t="s">
        <v>824</v>
      </c>
      <c r="H223">
        <v>4786.33</v>
      </c>
      <c r="I223">
        <v>4786.33</v>
      </c>
      <c r="J223">
        <v>0</v>
      </c>
      <c r="K223">
        <v>4786.33</v>
      </c>
      <c r="L223">
        <v>0.1</v>
      </c>
      <c r="M223">
        <v>5318.1444444444442</v>
      </c>
      <c r="N223" s="178">
        <v>44762</v>
      </c>
      <c r="O223" t="s">
        <v>503</v>
      </c>
    </row>
    <row r="224" spans="1:15" x14ac:dyDescent="0.2">
      <c r="A224" t="s">
        <v>825</v>
      </c>
      <c r="B224" t="s">
        <v>49</v>
      </c>
      <c r="D224">
        <v>1</v>
      </c>
      <c r="E224" t="s">
        <v>23</v>
      </c>
      <c r="F224" t="s">
        <v>826</v>
      </c>
      <c r="G224" t="s">
        <v>827</v>
      </c>
      <c r="H224">
        <v>5988.47</v>
      </c>
      <c r="I224">
        <v>5988.47</v>
      </c>
      <c r="J224">
        <v>0</v>
      </c>
      <c r="K224">
        <v>5988.47</v>
      </c>
      <c r="L224">
        <v>0.1</v>
      </c>
      <c r="M224">
        <v>6653.8555555555558</v>
      </c>
      <c r="N224" s="178">
        <v>44762</v>
      </c>
      <c r="O224" t="s">
        <v>503</v>
      </c>
    </row>
    <row r="225" spans="1:15" x14ac:dyDescent="0.2">
      <c r="A225" t="s">
        <v>485</v>
      </c>
      <c r="B225" t="s">
        <v>49</v>
      </c>
      <c r="D225">
        <v>1</v>
      </c>
      <c r="E225" t="s">
        <v>23</v>
      </c>
      <c r="F225" t="s">
        <v>828</v>
      </c>
      <c r="G225" t="s">
        <v>829</v>
      </c>
      <c r="H225">
        <v>6281.16</v>
      </c>
      <c r="I225">
        <v>6281.16</v>
      </c>
      <c r="J225">
        <v>0</v>
      </c>
      <c r="K225">
        <v>6281.16</v>
      </c>
      <c r="L225">
        <v>0.1</v>
      </c>
      <c r="M225">
        <v>6979.0666666666666</v>
      </c>
      <c r="N225" s="178">
        <v>44762</v>
      </c>
      <c r="O225" t="s">
        <v>503</v>
      </c>
    </row>
    <row r="226" spans="1:15" x14ac:dyDescent="0.2">
      <c r="A226" t="s">
        <v>485</v>
      </c>
      <c r="B226" t="s">
        <v>49</v>
      </c>
      <c r="D226">
        <v>1</v>
      </c>
      <c r="E226" t="s">
        <v>23</v>
      </c>
      <c r="F226" t="s">
        <v>830</v>
      </c>
      <c r="G226" t="s">
        <v>831</v>
      </c>
      <c r="H226">
        <v>8274.91</v>
      </c>
      <c r="I226">
        <v>8274.91</v>
      </c>
      <c r="J226">
        <v>0</v>
      </c>
      <c r="K226">
        <v>8274.91</v>
      </c>
      <c r="L226">
        <v>0.1</v>
      </c>
      <c r="M226">
        <v>9194.3444444444449</v>
      </c>
      <c r="N226" s="178">
        <v>44762</v>
      </c>
      <c r="O226" t="s">
        <v>503</v>
      </c>
    </row>
    <row r="227" spans="1:15" x14ac:dyDescent="0.2">
      <c r="A227" t="s">
        <v>825</v>
      </c>
      <c r="B227" t="s">
        <v>49</v>
      </c>
      <c r="D227">
        <v>1</v>
      </c>
      <c r="E227" t="s">
        <v>23</v>
      </c>
      <c r="F227" t="s">
        <v>832</v>
      </c>
      <c r="G227" t="s">
        <v>833</v>
      </c>
      <c r="H227">
        <v>12895.22</v>
      </c>
      <c r="I227">
        <v>12895.22</v>
      </c>
      <c r="J227">
        <v>0</v>
      </c>
      <c r="K227">
        <v>12895.22</v>
      </c>
      <c r="L227">
        <v>0.1</v>
      </c>
      <c r="M227">
        <v>14328.022222222222</v>
      </c>
      <c r="N227" s="178">
        <v>44762</v>
      </c>
      <c r="O227" t="s">
        <v>503</v>
      </c>
    </row>
    <row r="228" spans="1:15" x14ac:dyDescent="0.2">
      <c r="A228" t="s">
        <v>485</v>
      </c>
      <c r="B228" t="s">
        <v>49</v>
      </c>
      <c r="D228">
        <v>1</v>
      </c>
      <c r="E228" t="s">
        <v>23</v>
      </c>
      <c r="F228" t="s">
        <v>834</v>
      </c>
      <c r="G228" t="s">
        <v>835</v>
      </c>
      <c r="H228">
        <v>2317.09</v>
      </c>
      <c r="I228">
        <v>2317.09</v>
      </c>
      <c r="J228">
        <v>0</v>
      </c>
      <c r="K228">
        <v>2317.09</v>
      </c>
      <c r="L228">
        <v>0.1</v>
      </c>
      <c r="M228">
        <v>2574.5444444444447</v>
      </c>
      <c r="N228" s="178">
        <v>44762</v>
      </c>
      <c r="O228" t="s">
        <v>503</v>
      </c>
    </row>
    <row r="229" spans="1:15" x14ac:dyDescent="0.2">
      <c r="A229" t="s">
        <v>588</v>
      </c>
      <c r="B229" t="s">
        <v>19</v>
      </c>
      <c r="D229">
        <v>1</v>
      </c>
      <c r="E229" t="s">
        <v>23</v>
      </c>
      <c r="F229" t="s">
        <v>836</v>
      </c>
      <c r="G229" t="s">
        <v>837</v>
      </c>
      <c r="H229">
        <v>1934.46</v>
      </c>
      <c r="I229">
        <v>1934.46</v>
      </c>
      <c r="J229">
        <v>0</v>
      </c>
      <c r="K229">
        <v>1934.46</v>
      </c>
      <c r="L229">
        <v>0.1</v>
      </c>
      <c r="M229">
        <v>2149.4</v>
      </c>
      <c r="N229" s="178">
        <v>44762</v>
      </c>
      <c r="O229" t="s">
        <v>588</v>
      </c>
    </row>
    <row r="230" spans="1:15" x14ac:dyDescent="0.2">
      <c r="A230" t="s">
        <v>485</v>
      </c>
      <c r="B230" t="s">
        <v>19</v>
      </c>
      <c r="D230">
        <v>1</v>
      </c>
      <c r="E230" t="s">
        <v>23</v>
      </c>
      <c r="F230" t="s">
        <v>486</v>
      </c>
      <c r="G230" t="s">
        <v>487</v>
      </c>
      <c r="H230">
        <v>6538</v>
      </c>
      <c r="I230">
        <v>6538</v>
      </c>
      <c r="J230">
        <v>0</v>
      </c>
      <c r="K230">
        <v>6538</v>
      </c>
      <c r="L230">
        <v>0.1</v>
      </c>
      <c r="M230">
        <v>7264.4444444444443</v>
      </c>
      <c r="N230" s="178">
        <v>44699</v>
      </c>
      <c r="O230" t="s">
        <v>221</v>
      </c>
    </row>
    <row r="231" spans="1:15" x14ac:dyDescent="0.2">
      <c r="A231" t="s">
        <v>222</v>
      </c>
      <c r="B231" t="s">
        <v>49</v>
      </c>
      <c r="D231">
        <v>1</v>
      </c>
      <c r="E231" t="s">
        <v>23</v>
      </c>
      <c r="F231" t="s">
        <v>838</v>
      </c>
      <c r="G231" t="s">
        <v>839</v>
      </c>
      <c r="H231">
        <v>8826.9599999999991</v>
      </c>
      <c r="I231">
        <v>8826.9599999999991</v>
      </c>
      <c r="J231">
        <v>9.7500000000000003E-2</v>
      </c>
      <c r="K231">
        <v>9687.5885999999991</v>
      </c>
      <c r="L231">
        <v>0.1</v>
      </c>
      <c r="M231">
        <v>10763.987333333333</v>
      </c>
      <c r="N231" s="178">
        <v>44755</v>
      </c>
      <c r="O231" t="s">
        <v>183</v>
      </c>
    </row>
    <row r="232" spans="1:15" x14ac:dyDescent="0.2">
      <c r="A232" t="s">
        <v>222</v>
      </c>
      <c r="B232" t="s">
        <v>49</v>
      </c>
      <c r="D232">
        <v>1</v>
      </c>
      <c r="E232" t="s">
        <v>23</v>
      </c>
      <c r="F232" t="s">
        <v>840</v>
      </c>
      <c r="G232" t="s">
        <v>841</v>
      </c>
      <c r="H232">
        <v>5156.2700000000004</v>
      </c>
      <c r="I232">
        <v>5156.2700000000004</v>
      </c>
      <c r="J232">
        <v>9.7500000000000003E-2</v>
      </c>
      <c r="K232">
        <v>5659.0063250000003</v>
      </c>
      <c r="L232">
        <v>0.1</v>
      </c>
      <c r="M232">
        <v>6287.784805555556</v>
      </c>
      <c r="N232" s="178">
        <v>44755</v>
      </c>
      <c r="O232" t="s">
        <v>183</v>
      </c>
    </row>
    <row r="233" spans="1:15" x14ac:dyDescent="0.2">
      <c r="A233" t="s">
        <v>222</v>
      </c>
      <c r="B233" t="s">
        <v>49</v>
      </c>
      <c r="D233">
        <v>1</v>
      </c>
      <c r="E233" t="s">
        <v>23</v>
      </c>
      <c r="F233" t="s">
        <v>842</v>
      </c>
      <c r="G233" t="s">
        <v>843</v>
      </c>
      <c r="H233">
        <v>7336.54</v>
      </c>
      <c r="I233">
        <v>7336.54</v>
      </c>
      <c r="J233">
        <v>9.7500000000000003E-2</v>
      </c>
      <c r="K233">
        <v>8051.8526499999998</v>
      </c>
      <c r="L233">
        <v>0.1</v>
      </c>
      <c r="M233">
        <v>8946.5029444444444</v>
      </c>
      <c r="N233" s="178">
        <v>44755</v>
      </c>
      <c r="O233" t="s">
        <v>183</v>
      </c>
    </row>
    <row r="234" spans="1:15" x14ac:dyDescent="0.2">
      <c r="A234" t="s">
        <v>222</v>
      </c>
      <c r="B234" t="s">
        <v>49</v>
      </c>
      <c r="D234">
        <v>1</v>
      </c>
      <c r="E234" t="s">
        <v>23</v>
      </c>
      <c r="F234" t="s">
        <v>844</v>
      </c>
      <c r="G234" t="s">
        <v>845</v>
      </c>
      <c r="H234">
        <v>12651.65</v>
      </c>
      <c r="I234">
        <v>12651.65</v>
      </c>
      <c r="J234">
        <v>9.7500000000000003E-2</v>
      </c>
      <c r="K234">
        <v>13885.185874999999</v>
      </c>
      <c r="L234">
        <v>0.1</v>
      </c>
      <c r="M234">
        <v>15427.984305555554</v>
      </c>
      <c r="N234" s="178">
        <v>44755</v>
      </c>
      <c r="O234" t="s">
        <v>183</v>
      </c>
    </row>
    <row r="235" spans="1:15" x14ac:dyDescent="0.2">
      <c r="A235" t="s">
        <v>588</v>
      </c>
      <c r="B235" t="s">
        <v>19</v>
      </c>
      <c r="D235">
        <v>1</v>
      </c>
      <c r="E235" t="s">
        <v>23</v>
      </c>
      <c r="F235" t="s">
        <v>846</v>
      </c>
      <c r="G235" t="s">
        <v>847</v>
      </c>
      <c r="H235">
        <v>4545.74</v>
      </c>
      <c r="I235">
        <v>4545.74</v>
      </c>
      <c r="J235">
        <v>0</v>
      </c>
      <c r="K235">
        <v>4545.74</v>
      </c>
      <c r="L235">
        <v>0.1</v>
      </c>
      <c r="M235">
        <v>5050.8222222222221</v>
      </c>
      <c r="N235" s="178">
        <v>44762</v>
      </c>
      <c r="O235" t="s">
        <v>588</v>
      </c>
    </row>
    <row r="236" spans="1:15" x14ac:dyDescent="0.2">
      <c r="A236" t="s">
        <v>359</v>
      </c>
      <c r="B236" t="s">
        <v>184</v>
      </c>
      <c r="D236">
        <v>1</v>
      </c>
      <c r="E236" t="s">
        <v>23</v>
      </c>
      <c r="F236" t="s">
        <v>380</v>
      </c>
      <c r="G236" t="s">
        <v>381</v>
      </c>
      <c r="H236">
        <v>22.35</v>
      </c>
      <c r="I236">
        <v>22.35</v>
      </c>
      <c r="J236">
        <v>0</v>
      </c>
      <c r="K236">
        <v>22.35</v>
      </c>
      <c r="L236">
        <v>0.1</v>
      </c>
      <c r="M236">
        <v>24.833333333333336</v>
      </c>
      <c r="N236" s="178">
        <v>44671</v>
      </c>
      <c r="O236" t="s">
        <v>187</v>
      </c>
    </row>
    <row r="237" spans="1:15" x14ac:dyDescent="0.2">
      <c r="A237" t="s">
        <v>359</v>
      </c>
      <c r="B237" t="s">
        <v>184</v>
      </c>
      <c r="D237">
        <v>1</v>
      </c>
      <c r="E237" t="s">
        <v>23</v>
      </c>
      <c r="F237" t="s">
        <v>848</v>
      </c>
      <c r="G237" t="s">
        <v>849</v>
      </c>
      <c r="H237">
        <v>22.35</v>
      </c>
      <c r="I237">
        <v>22.35</v>
      </c>
      <c r="J237">
        <v>0</v>
      </c>
      <c r="K237">
        <v>22.35</v>
      </c>
      <c r="L237">
        <v>0.1</v>
      </c>
      <c r="M237">
        <v>24.833333333333336</v>
      </c>
      <c r="N237" s="178">
        <v>44723</v>
      </c>
      <c r="O237" t="s">
        <v>187</v>
      </c>
    </row>
    <row r="238" spans="1:15" x14ac:dyDescent="0.2">
      <c r="A238" t="s">
        <v>359</v>
      </c>
      <c r="B238" t="s">
        <v>184</v>
      </c>
      <c r="D238">
        <v>1</v>
      </c>
      <c r="E238" t="s">
        <v>23</v>
      </c>
      <c r="F238" t="s">
        <v>850</v>
      </c>
      <c r="G238" t="s">
        <v>851</v>
      </c>
      <c r="H238">
        <v>21.11</v>
      </c>
      <c r="I238">
        <v>21.11</v>
      </c>
      <c r="J238">
        <v>0</v>
      </c>
      <c r="K238">
        <v>21.11</v>
      </c>
      <c r="L238">
        <v>0.1</v>
      </c>
      <c r="M238">
        <v>23.455555555555556</v>
      </c>
      <c r="N238" s="178">
        <v>44723</v>
      </c>
      <c r="O238" t="s">
        <v>187</v>
      </c>
    </row>
    <row r="239" spans="1:15" x14ac:dyDescent="0.2">
      <c r="A239" t="s">
        <v>444</v>
      </c>
      <c r="B239" t="s">
        <v>48</v>
      </c>
      <c r="D239">
        <v>1</v>
      </c>
      <c r="E239" t="s">
        <v>23</v>
      </c>
      <c r="G239" t="s">
        <v>852</v>
      </c>
      <c r="H239">
        <v>7.84</v>
      </c>
      <c r="I239">
        <v>7.84</v>
      </c>
      <c r="J239">
        <v>0</v>
      </c>
      <c r="K239">
        <v>7.84</v>
      </c>
      <c r="L239">
        <v>0.1</v>
      </c>
      <c r="M239">
        <v>8.7111111111111104</v>
      </c>
      <c r="N239" s="178">
        <v>44763</v>
      </c>
      <c r="O239" t="s">
        <v>221</v>
      </c>
    </row>
    <row r="240" spans="1:15" x14ac:dyDescent="0.2">
      <c r="A240" t="s">
        <v>451</v>
      </c>
      <c r="B240" t="s">
        <v>229</v>
      </c>
      <c r="D240">
        <v>1</v>
      </c>
      <c r="E240" t="s">
        <v>23</v>
      </c>
      <c r="F240" t="s">
        <v>452</v>
      </c>
      <c r="G240" t="s">
        <v>453</v>
      </c>
      <c r="H240">
        <v>12000</v>
      </c>
      <c r="I240">
        <v>12000</v>
      </c>
      <c r="J240">
        <v>0</v>
      </c>
      <c r="K240">
        <v>12000</v>
      </c>
      <c r="L240">
        <v>0.1</v>
      </c>
      <c r="M240">
        <v>13333.333333333332</v>
      </c>
      <c r="N240" s="178">
        <v>44680</v>
      </c>
      <c r="O240" t="s">
        <v>451</v>
      </c>
    </row>
    <row r="241" spans="1:15" x14ac:dyDescent="0.2">
      <c r="A241" t="s">
        <v>456</v>
      </c>
      <c r="B241" t="s">
        <v>5</v>
      </c>
      <c r="D241">
        <v>1</v>
      </c>
      <c r="E241" t="s">
        <v>23</v>
      </c>
      <c r="F241" t="s">
        <v>853</v>
      </c>
      <c r="G241" t="s">
        <v>854</v>
      </c>
      <c r="H241">
        <v>11489.9</v>
      </c>
      <c r="I241">
        <v>11489.9</v>
      </c>
      <c r="J241">
        <v>0</v>
      </c>
      <c r="K241">
        <v>11489.9</v>
      </c>
      <c r="L241">
        <v>0.1</v>
      </c>
      <c r="M241">
        <v>12766.555555555555</v>
      </c>
      <c r="N241" s="178">
        <v>44822</v>
      </c>
      <c r="O241" t="s">
        <v>456</v>
      </c>
    </row>
    <row r="242" spans="1:15" x14ac:dyDescent="0.2">
      <c r="A242" t="s">
        <v>456</v>
      </c>
      <c r="B242" t="s">
        <v>7</v>
      </c>
      <c r="D242">
        <v>1</v>
      </c>
      <c r="E242" t="s">
        <v>23</v>
      </c>
      <c r="F242" t="s">
        <v>462</v>
      </c>
      <c r="G242" t="s">
        <v>855</v>
      </c>
      <c r="H242">
        <v>7255.03</v>
      </c>
      <c r="I242">
        <v>7255.03</v>
      </c>
      <c r="J242">
        <v>0.15</v>
      </c>
      <c r="K242">
        <v>8343.2844999999998</v>
      </c>
      <c r="L242">
        <v>0.1</v>
      </c>
      <c r="M242">
        <v>9270.3161111111112</v>
      </c>
      <c r="N242" s="178">
        <v>44027</v>
      </c>
      <c r="O242" t="s">
        <v>456</v>
      </c>
    </row>
    <row r="243" spans="1:15" x14ac:dyDescent="0.2">
      <c r="A243" t="s">
        <v>456</v>
      </c>
      <c r="B243" t="s">
        <v>7</v>
      </c>
      <c r="D243">
        <v>1</v>
      </c>
      <c r="E243" t="s">
        <v>23</v>
      </c>
      <c r="F243" t="s">
        <v>457</v>
      </c>
      <c r="G243" t="s">
        <v>856</v>
      </c>
      <c r="H243">
        <v>8471.07</v>
      </c>
      <c r="I243">
        <v>8471.07</v>
      </c>
      <c r="J243">
        <v>0</v>
      </c>
      <c r="K243">
        <v>8471.07</v>
      </c>
      <c r="L243">
        <v>0.1</v>
      </c>
      <c r="M243">
        <v>9412.2999999999993</v>
      </c>
      <c r="N243" s="178">
        <v>44310</v>
      </c>
      <c r="O243" t="s">
        <v>456</v>
      </c>
    </row>
    <row r="244" spans="1:15" x14ac:dyDescent="0.2">
      <c r="A244" t="s">
        <v>485</v>
      </c>
      <c r="B244" t="s">
        <v>19</v>
      </c>
      <c r="D244">
        <v>1</v>
      </c>
      <c r="E244" t="s">
        <v>23</v>
      </c>
      <c r="F244" t="s">
        <v>857</v>
      </c>
      <c r="G244" t="s">
        <v>858</v>
      </c>
      <c r="H244">
        <v>1077.3499999999999</v>
      </c>
      <c r="I244">
        <v>1077.3499999999999</v>
      </c>
      <c r="J244">
        <v>0</v>
      </c>
      <c r="K244">
        <v>1077.3499999999999</v>
      </c>
      <c r="L244">
        <v>0.1</v>
      </c>
      <c r="M244">
        <v>1197.0555555555554</v>
      </c>
      <c r="N244" s="178">
        <v>44823</v>
      </c>
      <c r="O244" t="s">
        <v>221</v>
      </c>
    </row>
    <row r="245" spans="1:15" x14ac:dyDescent="0.2">
      <c r="A245" t="s">
        <v>485</v>
      </c>
      <c r="B245" t="s">
        <v>19</v>
      </c>
      <c r="D245">
        <v>1</v>
      </c>
      <c r="E245" t="s">
        <v>23</v>
      </c>
      <c r="F245" t="s">
        <v>859</v>
      </c>
      <c r="G245" t="s">
        <v>860</v>
      </c>
      <c r="H245">
        <v>1040.81</v>
      </c>
      <c r="I245">
        <v>1040.81</v>
      </c>
      <c r="J245">
        <v>0</v>
      </c>
      <c r="K245">
        <v>1040.81</v>
      </c>
      <c r="L245">
        <v>0.1</v>
      </c>
      <c r="M245">
        <v>1156.4555555555555</v>
      </c>
      <c r="N245" s="178">
        <v>44823</v>
      </c>
      <c r="O245" t="s">
        <v>221</v>
      </c>
    </row>
    <row r="246" spans="1:15" x14ac:dyDescent="0.2">
      <c r="A246" t="s">
        <v>485</v>
      </c>
      <c r="B246" t="s">
        <v>19</v>
      </c>
      <c r="D246">
        <v>1</v>
      </c>
      <c r="E246" t="s">
        <v>23</v>
      </c>
      <c r="F246" t="s">
        <v>861</v>
      </c>
      <c r="G246" t="s">
        <v>862</v>
      </c>
      <c r="H246">
        <v>2840.91</v>
      </c>
      <c r="I246">
        <v>2840.91</v>
      </c>
      <c r="J246">
        <v>0</v>
      </c>
      <c r="K246">
        <v>2840.91</v>
      </c>
      <c r="L246">
        <v>0.1</v>
      </c>
      <c r="M246">
        <v>3156.5666666666666</v>
      </c>
      <c r="N246" s="178">
        <v>44823</v>
      </c>
      <c r="O246" t="s">
        <v>221</v>
      </c>
    </row>
    <row r="247" spans="1:15" x14ac:dyDescent="0.2">
      <c r="A247" t="s">
        <v>485</v>
      </c>
      <c r="B247" t="s">
        <v>19</v>
      </c>
      <c r="D247">
        <v>1</v>
      </c>
      <c r="E247" t="s">
        <v>23</v>
      </c>
      <c r="F247" t="s">
        <v>863</v>
      </c>
      <c r="G247" t="s">
        <v>864</v>
      </c>
      <c r="H247">
        <v>878.56</v>
      </c>
      <c r="I247">
        <v>878.56</v>
      </c>
      <c r="J247">
        <v>0</v>
      </c>
      <c r="K247">
        <v>878.56</v>
      </c>
      <c r="L247">
        <v>0.1</v>
      </c>
      <c r="M247">
        <v>976.17777777777769</v>
      </c>
      <c r="N247" s="178">
        <v>44823</v>
      </c>
      <c r="O247" t="s">
        <v>221</v>
      </c>
    </row>
    <row r="248" spans="1:15" x14ac:dyDescent="0.2">
      <c r="A248" t="s">
        <v>485</v>
      </c>
      <c r="B248" t="s">
        <v>19</v>
      </c>
      <c r="D248">
        <v>1</v>
      </c>
      <c r="E248" t="s">
        <v>23</v>
      </c>
      <c r="F248" t="s">
        <v>865</v>
      </c>
      <c r="G248" t="s">
        <v>866</v>
      </c>
      <c r="H248">
        <v>540.46</v>
      </c>
      <c r="I248">
        <v>540.46</v>
      </c>
      <c r="J248">
        <v>0</v>
      </c>
      <c r="K248">
        <v>540.46</v>
      </c>
      <c r="L248">
        <v>0.1</v>
      </c>
      <c r="M248">
        <v>600.51111111111118</v>
      </c>
      <c r="N248" s="178">
        <v>44823</v>
      </c>
      <c r="O248" t="s">
        <v>221</v>
      </c>
    </row>
    <row r="249" spans="1:15" x14ac:dyDescent="0.2">
      <c r="A249" t="s">
        <v>485</v>
      </c>
      <c r="B249" t="s">
        <v>19</v>
      </c>
      <c r="D249">
        <v>1</v>
      </c>
      <c r="E249" t="s">
        <v>23</v>
      </c>
      <c r="F249" t="s">
        <v>867</v>
      </c>
      <c r="G249" t="s">
        <v>868</v>
      </c>
      <c r="H249">
        <v>1040.81</v>
      </c>
      <c r="I249">
        <v>1040.81</v>
      </c>
      <c r="J249">
        <v>0</v>
      </c>
      <c r="K249">
        <v>1040.81</v>
      </c>
      <c r="L249">
        <v>0.1</v>
      </c>
      <c r="M249">
        <v>1156.4555555555555</v>
      </c>
      <c r="N249" s="178">
        <v>44823</v>
      </c>
      <c r="O249" t="s">
        <v>221</v>
      </c>
    </row>
    <row r="250" spans="1:15" x14ac:dyDescent="0.2">
      <c r="A250" t="s">
        <v>485</v>
      </c>
      <c r="B250" t="s">
        <v>19</v>
      </c>
      <c r="D250">
        <v>1</v>
      </c>
      <c r="E250" t="s">
        <v>23</v>
      </c>
      <c r="F250" t="s">
        <v>869</v>
      </c>
      <c r="G250" t="s">
        <v>870</v>
      </c>
      <c r="H250">
        <v>4233.04</v>
      </c>
      <c r="I250">
        <v>4233.04</v>
      </c>
      <c r="J250">
        <v>0</v>
      </c>
      <c r="K250">
        <v>4233.04</v>
      </c>
      <c r="L250">
        <v>0.1</v>
      </c>
      <c r="M250">
        <v>4703.3777777777777</v>
      </c>
      <c r="N250" s="178">
        <v>44823</v>
      </c>
      <c r="O250" t="s">
        <v>221</v>
      </c>
    </row>
    <row r="251" spans="1:15" x14ac:dyDescent="0.2">
      <c r="A251" t="s">
        <v>425</v>
      </c>
      <c r="B251" t="s">
        <v>5</v>
      </c>
      <c r="D251">
        <v>1</v>
      </c>
      <c r="E251" t="s">
        <v>23</v>
      </c>
      <c r="F251" t="s">
        <v>426</v>
      </c>
      <c r="G251" t="s">
        <v>427</v>
      </c>
      <c r="H251">
        <v>71.8</v>
      </c>
      <c r="I251">
        <v>71.8</v>
      </c>
      <c r="J251">
        <v>0.1</v>
      </c>
      <c r="K251">
        <v>78.97999999999999</v>
      </c>
      <c r="L251">
        <v>0.1</v>
      </c>
      <c r="M251">
        <v>87.755555555555546</v>
      </c>
      <c r="N251" s="178">
        <v>44671</v>
      </c>
      <c r="O251" t="s">
        <v>221</v>
      </c>
    </row>
    <row r="252" spans="1:15" x14ac:dyDescent="0.2">
      <c r="A252" t="s">
        <v>444</v>
      </c>
      <c r="B252" t="s">
        <v>48</v>
      </c>
      <c r="D252">
        <v>1</v>
      </c>
      <c r="E252" t="s">
        <v>23</v>
      </c>
      <c r="F252" t="s">
        <v>871</v>
      </c>
      <c r="G252" t="s">
        <v>872</v>
      </c>
      <c r="H252">
        <v>3.44</v>
      </c>
      <c r="I252">
        <v>3.44</v>
      </c>
      <c r="J252">
        <v>0</v>
      </c>
      <c r="K252">
        <v>3.44</v>
      </c>
      <c r="L252">
        <v>0.1</v>
      </c>
      <c r="M252">
        <v>3.822222222222222</v>
      </c>
      <c r="N252" s="178">
        <v>44763</v>
      </c>
      <c r="O252" t="s">
        <v>221</v>
      </c>
    </row>
    <row r="253" spans="1:15" x14ac:dyDescent="0.2">
      <c r="A253" t="s">
        <v>609</v>
      </c>
      <c r="B253" t="s">
        <v>96</v>
      </c>
      <c r="D253">
        <v>1</v>
      </c>
      <c r="E253" t="s">
        <v>23</v>
      </c>
      <c r="F253" t="s">
        <v>873</v>
      </c>
      <c r="G253" t="s">
        <v>874</v>
      </c>
      <c r="H253">
        <v>2.84</v>
      </c>
      <c r="I253">
        <v>2.84</v>
      </c>
      <c r="J253">
        <v>0</v>
      </c>
      <c r="K253">
        <v>2.84</v>
      </c>
      <c r="L253">
        <v>0.1</v>
      </c>
      <c r="M253">
        <v>3.1555555555555554</v>
      </c>
      <c r="N253" s="178">
        <v>44724</v>
      </c>
      <c r="O253" t="s">
        <v>221</v>
      </c>
    </row>
    <row r="254" spans="1:15" x14ac:dyDescent="0.2">
      <c r="A254" t="s">
        <v>283</v>
      </c>
      <c r="B254" t="s">
        <v>5</v>
      </c>
      <c r="D254">
        <v>1</v>
      </c>
      <c r="E254" t="s">
        <v>23</v>
      </c>
      <c r="F254" t="s">
        <v>290</v>
      </c>
      <c r="G254" t="s">
        <v>291</v>
      </c>
      <c r="H254">
        <v>176.92</v>
      </c>
      <c r="I254">
        <v>176.92</v>
      </c>
      <c r="J254">
        <v>0</v>
      </c>
      <c r="K254">
        <v>176.92</v>
      </c>
      <c r="L254">
        <v>0.1</v>
      </c>
      <c r="M254">
        <v>196.57777777777775</v>
      </c>
      <c r="N254" s="178">
        <v>44671</v>
      </c>
      <c r="O254" t="s">
        <v>283</v>
      </c>
    </row>
    <row r="255" spans="1:15" x14ac:dyDescent="0.2">
      <c r="A255" t="s">
        <v>527</v>
      </c>
      <c r="B255" t="s">
        <v>6</v>
      </c>
      <c r="D255">
        <v>1</v>
      </c>
      <c r="E255" t="s">
        <v>23</v>
      </c>
      <c r="F255" t="s">
        <v>875</v>
      </c>
      <c r="G255" t="s">
        <v>876</v>
      </c>
      <c r="H255">
        <v>1595</v>
      </c>
      <c r="I255">
        <v>1595</v>
      </c>
      <c r="J255">
        <v>0</v>
      </c>
      <c r="K255">
        <v>1595</v>
      </c>
      <c r="L255">
        <v>0.1</v>
      </c>
      <c r="M255">
        <v>1772.2222222222222</v>
      </c>
      <c r="N255" s="178">
        <v>44740</v>
      </c>
      <c r="O255" t="s">
        <v>530</v>
      </c>
    </row>
    <row r="256" spans="1:15" x14ac:dyDescent="0.2">
      <c r="A256" t="s">
        <v>335</v>
      </c>
      <c r="B256" t="s">
        <v>18</v>
      </c>
      <c r="D256">
        <v>1</v>
      </c>
      <c r="E256" t="s">
        <v>23</v>
      </c>
      <c r="F256" t="s">
        <v>336</v>
      </c>
      <c r="G256" t="s">
        <v>337</v>
      </c>
      <c r="H256">
        <v>1615</v>
      </c>
      <c r="I256">
        <v>1615</v>
      </c>
      <c r="J256">
        <v>0</v>
      </c>
      <c r="K256">
        <v>1615</v>
      </c>
      <c r="L256">
        <v>0.1</v>
      </c>
      <c r="M256">
        <v>1794.4444444444443</v>
      </c>
      <c r="N256" s="178">
        <v>44629</v>
      </c>
      <c r="O256" t="s">
        <v>338</v>
      </c>
    </row>
    <row r="257" spans="1:15" x14ac:dyDescent="0.2">
      <c r="A257" t="s">
        <v>342</v>
      </c>
      <c r="B257" t="s">
        <v>19</v>
      </c>
      <c r="D257">
        <v>1</v>
      </c>
      <c r="E257" t="s">
        <v>23</v>
      </c>
      <c r="F257" t="s">
        <v>877</v>
      </c>
      <c r="G257" t="s">
        <v>878</v>
      </c>
      <c r="H257">
        <v>686.16</v>
      </c>
      <c r="I257">
        <v>686.16</v>
      </c>
      <c r="J257">
        <v>0</v>
      </c>
      <c r="K257">
        <v>686.16</v>
      </c>
      <c r="L257">
        <v>0.1</v>
      </c>
      <c r="M257">
        <v>762.4</v>
      </c>
      <c r="N257" s="178">
        <v>44806</v>
      </c>
      <c r="O257" t="s">
        <v>345</v>
      </c>
    </row>
    <row r="258" spans="1:15" x14ac:dyDescent="0.2">
      <c r="A258" t="s">
        <v>315</v>
      </c>
      <c r="B258" t="s">
        <v>5</v>
      </c>
      <c r="D258">
        <v>1</v>
      </c>
      <c r="E258" t="s">
        <v>23</v>
      </c>
      <c r="F258" t="s">
        <v>316</v>
      </c>
      <c r="G258" t="s">
        <v>317</v>
      </c>
      <c r="H258">
        <v>56.93</v>
      </c>
      <c r="I258">
        <v>56.93</v>
      </c>
      <c r="J258">
        <v>0.1</v>
      </c>
      <c r="K258">
        <v>62.622999999999998</v>
      </c>
      <c r="L258">
        <v>0.1</v>
      </c>
      <c r="M258">
        <v>69.581111111111113</v>
      </c>
      <c r="N258" s="178">
        <v>44671</v>
      </c>
      <c r="O258" t="s">
        <v>221</v>
      </c>
    </row>
    <row r="259" spans="1:15" x14ac:dyDescent="0.2">
      <c r="A259" t="s">
        <v>485</v>
      </c>
      <c r="B259" t="s">
        <v>580</v>
      </c>
      <c r="D259">
        <v>1</v>
      </c>
      <c r="E259" t="s">
        <v>23</v>
      </c>
      <c r="F259" t="s">
        <v>879</v>
      </c>
      <c r="G259" t="s">
        <v>880</v>
      </c>
      <c r="H259">
        <v>11.08</v>
      </c>
      <c r="I259">
        <v>11.08</v>
      </c>
      <c r="J259">
        <v>0</v>
      </c>
      <c r="K259">
        <v>11.08</v>
      </c>
      <c r="L259">
        <v>0.1</v>
      </c>
      <c r="M259">
        <v>12.31111111111111</v>
      </c>
      <c r="N259" s="178">
        <v>44730</v>
      </c>
      <c r="O259" t="s">
        <v>221</v>
      </c>
    </row>
    <row r="260" spans="1:15" x14ac:dyDescent="0.2">
      <c r="A260" t="s">
        <v>485</v>
      </c>
      <c r="B260" t="s">
        <v>580</v>
      </c>
      <c r="D260">
        <v>1</v>
      </c>
      <c r="E260" t="s">
        <v>23</v>
      </c>
      <c r="F260" t="s">
        <v>881</v>
      </c>
      <c r="G260" t="s">
        <v>882</v>
      </c>
      <c r="H260">
        <v>47.97</v>
      </c>
      <c r="I260">
        <v>47.97</v>
      </c>
      <c r="J260">
        <v>0</v>
      </c>
      <c r="K260">
        <v>47.97</v>
      </c>
      <c r="L260">
        <v>0.1</v>
      </c>
      <c r="M260">
        <v>53.3</v>
      </c>
      <c r="N260" s="178">
        <v>44730</v>
      </c>
      <c r="O260" t="s">
        <v>221</v>
      </c>
    </row>
    <row r="261" spans="1:15" x14ac:dyDescent="0.2">
      <c r="A261" t="s">
        <v>283</v>
      </c>
      <c r="B261" t="s">
        <v>48</v>
      </c>
      <c r="D261">
        <v>1</v>
      </c>
      <c r="E261" t="s">
        <v>23</v>
      </c>
      <c r="F261" t="s">
        <v>286</v>
      </c>
      <c r="G261" t="s">
        <v>287</v>
      </c>
      <c r="H261">
        <v>35.53</v>
      </c>
      <c r="I261">
        <v>35.53</v>
      </c>
      <c r="J261">
        <v>0</v>
      </c>
      <c r="K261">
        <v>35.53</v>
      </c>
      <c r="L261">
        <v>0.1</v>
      </c>
      <c r="M261">
        <v>39.477777777777781</v>
      </c>
      <c r="N261" s="178">
        <v>44671</v>
      </c>
      <c r="O261" t="s">
        <v>283</v>
      </c>
    </row>
    <row r="262" spans="1:15" x14ac:dyDescent="0.2">
      <c r="A262" t="s">
        <v>825</v>
      </c>
      <c r="B262" t="s">
        <v>49</v>
      </c>
      <c r="D262">
        <v>1</v>
      </c>
      <c r="E262" t="s">
        <v>23</v>
      </c>
      <c r="F262" t="s">
        <v>883</v>
      </c>
      <c r="G262" t="s">
        <v>884</v>
      </c>
      <c r="H262">
        <v>252.93</v>
      </c>
      <c r="I262">
        <v>252.93</v>
      </c>
      <c r="J262">
        <v>0</v>
      </c>
      <c r="K262">
        <v>252.93</v>
      </c>
      <c r="L262">
        <v>0.1</v>
      </c>
      <c r="M262">
        <v>281.03333333333336</v>
      </c>
      <c r="N262" s="178">
        <v>44762</v>
      </c>
      <c r="O262" t="s">
        <v>503</v>
      </c>
    </row>
    <row r="263" spans="1:15" x14ac:dyDescent="0.2">
      <c r="A263" t="s">
        <v>405</v>
      </c>
      <c r="B263" t="s">
        <v>50</v>
      </c>
      <c r="D263">
        <v>1</v>
      </c>
      <c r="E263" t="s">
        <v>23</v>
      </c>
      <c r="F263" t="s">
        <v>417</v>
      </c>
      <c r="G263" t="s">
        <v>418</v>
      </c>
      <c r="H263">
        <v>2276.06</v>
      </c>
      <c r="I263">
        <v>2276.06</v>
      </c>
      <c r="J263">
        <v>0</v>
      </c>
      <c r="K263">
        <v>2276.06</v>
      </c>
      <c r="L263">
        <v>0.1</v>
      </c>
      <c r="M263">
        <v>2528.9555555555553</v>
      </c>
      <c r="N263" s="178">
        <v>44671</v>
      </c>
      <c r="O263" t="s">
        <v>408</v>
      </c>
    </row>
    <row r="264" spans="1:15" x14ac:dyDescent="0.2">
      <c r="A264" t="s">
        <v>225</v>
      </c>
      <c r="B264" t="s">
        <v>50</v>
      </c>
      <c r="D264">
        <v>1</v>
      </c>
      <c r="E264" t="s">
        <v>23</v>
      </c>
      <c r="F264" t="s">
        <v>236</v>
      </c>
      <c r="G264" t="s">
        <v>237</v>
      </c>
      <c r="H264">
        <v>1647.83</v>
      </c>
      <c r="I264">
        <v>1647.83</v>
      </c>
      <c r="J264">
        <v>0</v>
      </c>
      <c r="K264">
        <v>1647.83</v>
      </c>
      <c r="L264">
        <v>0.1</v>
      </c>
      <c r="M264">
        <v>1830.922222222222</v>
      </c>
      <c r="N264" s="178">
        <v>44355</v>
      </c>
      <c r="O264" t="s">
        <v>228</v>
      </c>
    </row>
    <row r="265" spans="1:15" x14ac:dyDescent="0.2">
      <c r="A265" t="s">
        <v>585</v>
      </c>
      <c r="B265" t="s">
        <v>19</v>
      </c>
      <c r="D265">
        <v>1</v>
      </c>
      <c r="E265" t="s">
        <v>23</v>
      </c>
      <c r="F265" t="s">
        <v>885</v>
      </c>
      <c r="G265" t="s">
        <v>886</v>
      </c>
      <c r="H265">
        <v>1456.3</v>
      </c>
      <c r="I265">
        <v>1456.3</v>
      </c>
      <c r="J265">
        <v>9.7500000000000003E-2</v>
      </c>
      <c r="K265">
        <v>1598.28925</v>
      </c>
      <c r="L265">
        <v>0.1</v>
      </c>
      <c r="M265">
        <v>1775.8769444444445</v>
      </c>
      <c r="N265" s="178">
        <v>44755</v>
      </c>
      <c r="O265" t="s">
        <v>183</v>
      </c>
    </row>
    <row r="266" spans="1:15" x14ac:dyDescent="0.2">
      <c r="A266" t="s">
        <v>283</v>
      </c>
      <c r="B266" t="s">
        <v>50</v>
      </c>
      <c r="D266">
        <v>1</v>
      </c>
      <c r="E266" t="s">
        <v>23</v>
      </c>
      <c r="F266" t="s">
        <v>302</v>
      </c>
      <c r="G266" t="s">
        <v>303</v>
      </c>
      <c r="H266">
        <v>1163</v>
      </c>
      <c r="I266">
        <v>1163</v>
      </c>
      <c r="J266">
        <v>9.7500000000000003E-2</v>
      </c>
      <c r="K266">
        <v>1276.3924999999999</v>
      </c>
      <c r="L266">
        <v>0.1</v>
      </c>
      <c r="M266">
        <v>1418.2138888888887</v>
      </c>
      <c r="N266" s="178">
        <v>44746</v>
      </c>
      <c r="O266" t="s">
        <v>283</v>
      </c>
    </row>
    <row r="267" spans="1:15" x14ac:dyDescent="0.2">
      <c r="A267" t="s">
        <v>283</v>
      </c>
      <c r="B267" t="s">
        <v>50</v>
      </c>
      <c r="D267">
        <v>1</v>
      </c>
      <c r="E267" t="s">
        <v>23</v>
      </c>
      <c r="F267" t="s">
        <v>298</v>
      </c>
      <c r="G267" t="s">
        <v>299</v>
      </c>
      <c r="H267">
        <v>493.9</v>
      </c>
      <c r="I267">
        <v>493.9</v>
      </c>
      <c r="J267">
        <v>9.7500000000000003E-2</v>
      </c>
      <c r="K267">
        <v>542.05525</v>
      </c>
      <c r="L267">
        <v>0.1</v>
      </c>
      <c r="M267">
        <v>602.2836111111111</v>
      </c>
      <c r="N267" s="178">
        <v>44746</v>
      </c>
      <c r="O267" t="s">
        <v>283</v>
      </c>
    </row>
    <row r="268" spans="1:15" x14ac:dyDescent="0.2">
      <c r="A268" t="s">
        <v>283</v>
      </c>
      <c r="B268" t="s">
        <v>50</v>
      </c>
      <c r="D268">
        <v>1</v>
      </c>
      <c r="E268" t="s">
        <v>23</v>
      </c>
      <c r="F268" t="s">
        <v>300</v>
      </c>
      <c r="G268" t="s">
        <v>301</v>
      </c>
      <c r="H268">
        <v>600.42999999999995</v>
      </c>
      <c r="I268">
        <v>600.42999999999995</v>
      </c>
      <c r="J268">
        <v>9.7500000000000003E-2</v>
      </c>
      <c r="K268">
        <v>658.97192499999994</v>
      </c>
      <c r="L268">
        <v>0.1</v>
      </c>
      <c r="M268">
        <v>732.19102777777766</v>
      </c>
      <c r="N268" s="178">
        <v>44746</v>
      </c>
      <c r="O268" t="s">
        <v>283</v>
      </c>
    </row>
    <row r="269" spans="1:15" x14ac:dyDescent="0.2">
      <c r="A269" t="s">
        <v>283</v>
      </c>
      <c r="B269" t="s">
        <v>19</v>
      </c>
      <c r="D269">
        <v>1</v>
      </c>
      <c r="E269" t="s">
        <v>23</v>
      </c>
      <c r="F269" t="s">
        <v>887</v>
      </c>
      <c r="G269" t="s">
        <v>888</v>
      </c>
      <c r="H269">
        <v>491.27</v>
      </c>
      <c r="I269">
        <v>491.27</v>
      </c>
      <c r="J269">
        <v>9.7500000000000003E-2</v>
      </c>
      <c r="K269">
        <v>539.16882499999997</v>
      </c>
      <c r="L269">
        <v>0.1</v>
      </c>
      <c r="M269">
        <v>599.07647222222215</v>
      </c>
      <c r="N269" s="178">
        <v>44818</v>
      </c>
      <c r="O269" t="s">
        <v>283</v>
      </c>
    </row>
    <row r="270" spans="1:15" x14ac:dyDescent="0.2">
      <c r="A270" t="s">
        <v>283</v>
      </c>
      <c r="B270" t="s">
        <v>19</v>
      </c>
      <c r="D270">
        <v>1</v>
      </c>
      <c r="E270" t="s">
        <v>23</v>
      </c>
      <c r="F270" t="s">
        <v>889</v>
      </c>
      <c r="G270" t="s">
        <v>890</v>
      </c>
      <c r="H270">
        <v>744.38</v>
      </c>
      <c r="I270">
        <v>744.38</v>
      </c>
      <c r="J270">
        <v>9.7500000000000003E-2</v>
      </c>
      <c r="K270">
        <v>816.95704999999998</v>
      </c>
      <c r="L270">
        <v>0.1</v>
      </c>
      <c r="M270">
        <v>907.73005555555551</v>
      </c>
      <c r="N270" s="178">
        <v>44818</v>
      </c>
      <c r="O270" t="s">
        <v>283</v>
      </c>
    </row>
    <row r="271" spans="1:15" x14ac:dyDescent="0.2">
      <c r="A271" t="s">
        <v>283</v>
      </c>
      <c r="B271" t="s">
        <v>19</v>
      </c>
      <c r="D271">
        <v>1</v>
      </c>
      <c r="E271" t="s">
        <v>23</v>
      </c>
      <c r="F271" t="s">
        <v>891</v>
      </c>
      <c r="G271" t="s">
        <v>892</v>
      </c>
      <c r="H271">
        <v>357.42</v>
      </c>
      <c r="I271">
        <v>357.42</v>
      </c>
      <c r="J271">
        <v>9.7500000000000003E-2</v>
      </c>
      <c r="K271">
        <v>392.26845000000003</v>
      </c>
      <c r="L271">
        <v>0.1</v>
      </c>
      <c r="M271">
        <v>435.85383333333334</v>
      </c>
      <c r="N271" s="178">
        <v>44818</v>
      </c>
      <c r="O271" t="s">
        <v>283</v>
      </c>
    </row>
    <row r="272" spans="1:15" x14ac:dyDescent="0.2">
      <c r="A272" t="s">
        <v>283</v>
      </c>
      <c r="B272" t="s">
        <v>19</v>
      </c>
      <c r="D272">
        <v>1</v>
      </c>
      <c r="E272" t="s">
        <v>23</v>
      </c>
      <c r="F272" t="s">
        <v>893</v>
      </c>
      <c r="G272" t="s">
        <v>894</v>
      </c>
      <c r="H272">
        <v>591.82000000000005</v>
      </c>
      <c r="I272">
        <v>591.82000000000005</v>
      </c>
      <c r="J272">
        <v>9.7500000000000003E-2</v>
      </c>
      <c r="K272">
        <v>649.52245000000005</v>
      </c>
      <c r="L272">
        <v>0.1</v>
      </c>
      <c r="M272">
        <v>721.69161111111111</v>
      </c>
      <c r="N272" s="178">
        <v>44818</v>
      </c>
      <c r="O272" t="s">
        <v>283</v>
      </c>
    </row>
    <row r="273" spans="1:15" x14ac:dyDescent="0.2">
      <c r="A273" t="s">
        <v>283</v>
      </c>
      <c r="B273" t="s">
        <v>19</v>
      </c>
      <c r="D273">
        <v>1</v>
      </c>
      <c r="E273" t="s">
        <v>23</v>
      </c>
      <c r="F273" t="s">
        <v>895</v>
      </c>
      <c r="G273" t="s">
        <v>896</v>
      </c>
      <c r="H273">
        <v>516.21</v>
      </c>
      <c r="I273">
        <v>516.21</v>
      </c>
      <c r="J273">
        <v>9.7500000000000003E-2</v>
      </c>
      <c r="K273">
        <v>566.54047500000001</v>
      </c>
      <c r="L273">
        <v>0.1</v>
      </c>
      <c r="M273">
        <v>629.48941666666667</v>
      </c>
      <c r="N273" s="178">
        <v>44818</v>
      </c>
      <c r="O273" t="s">
        <v>283</v>
      </c>
    </row>
    <row r="274" spans="1:15" x14ac:dyDescent="0.2">
      <c r="A274" t="s">
        <v>283</v>
      </c>
      <c r="B274" t="s">
        <v>19</v>
      </c>
      <c r="D274">
        <v>1</v>
      </c>
      <c r="E274" t="s">
        <v>23</v>
      </c>
      <c r="F274" t="s">
        <v>897</v>
      </c>
      <c r="G274" t="s">
        <v>898</v>
      </c>
      <c r="H274">
        <v>474.37</v>
      </c>
      <c r="I274">
        <v>474.37</v>
      </c>
      <c r="J274">
        <v>9.7500000000000003E-2</v>
      </c>
      <c r="K274">
        <v>520.62107500000002</v>
      </c>
      <c r="L274">
        <v>0.1</v>
      </c>
      <c r="M274">
        <v>578.46786111111112</v>
      </c>
      <c r="N274" s="178">
        <v>44818</v>
      </c>
      <c r="O274" t="s">
        <v>283</v>
      </c>
    </row>
    <row r="275" spans="1:15" x14ac:dyDescent="0.2">
      <c r="A275" t="s">
        <v>283</v>
      </c>
      <c r="B275" t="s">
        <v>50</v>
      </c>
      <c r="D275">
        <v>1</v>
      </c>
      <c r="E275" t="s">
        <v>23</v>
      </c>
      <c r="F275" t="s">
        <v>296</v>
      </c>
      <c r="G275" t="s">
        <v>297</v>
      </c>
      <c r="H275">
        <v>582.89</v>
      </c>
      <c r="I275">
        <v>582.89</v>
      </c>
      <c r="J275">
        <v>0.1125</v>
      </c>
      <c r="K275">
        <v>648.46512499999994</v>
      </c>
      <c r="L275">
        <v>0.1</v>
      </c>
      <c r="M275">
        <v>720.51680555555549</v>
      </c>
      <c r="N275" s="178">
        <v>44623</v>
      </c>
      <c r="O275" t="s">
        <v>283</v>
      </c>
    </row>
    <row r="276" spans="1:15" x14ac:dyDescent="0.2">
      <c r="A276" t="s">
        <v>485</v>
      </c>
      <c r="B276" t="s">
        <v>19</v>
      </c>
      <c r="D276">
        <v>1</v>
      </c>
      <c r="E276" t="s">
        <v>23</v>
      </c>
      <c r="F276" t="s">
        <v>510</v>
      </c>
      <c r="G276" t="s">
        <v>511</v>
      </c>
      <c r="H276">
        <v>1737.05</v>
      </c>
      <c r="I276">
        <v>1737.05</v>
      </c>
      <c r="J276">
        <v>0</v>
      </c>
      <c r="K276">
        <v>1737.05</v>
      </c>
      <c r="L276">
        <v>0.1</v>
      </c>
      <c r="M276">
        <v>1930.0555555555554</v>
      </c>
      <c r="N276" s="178">
        <v>44699</v>
      </c>
      <c r="O276" t="s">
        <v>503</v>
      </c>
    </row>
    <row r="277" spans="1:15" x14ac:dyDescent="0.2">
      <c r="A277" t="s">
        <v>485</v>
      </c>
      <c r="B277" t="s">
        <v>19</v>
      </c>
      <c r="D277">
        <v>1</v>
      </c>
      <c r="E277" t="s">
        <v>23</v>
      </c>
      <c r="F277" t="s">
        <v>512</v>
      </c>
      <c r="G277" t="s">
        <v>513</v>
      </c>
      <c r="H277">
        <v>1737.05</v>
      </c>
      <c r="I277">
        <v>1737.05</v>
      </c>
      <c r="J277">
        <v>0</v>
      </c>
      <c r="K277">
        <v>1737.05</v>
      </c>
      <c r="L277">
        <v>0.1</v>
      </c>
      <c r="M277">
        <v>1930.0555555555554</v>
      </c>
      <c r="N277" s="178">
        <v>44699</v>
      </c>
      <c r="O277" t="s">
        <v>503</v>
      </c>
    </row>
    <row r="278" spans="1:15" x14ac:dyDescent="0.2">
      <c r="A278" t="s">
        <v>485</v>
      </c>
      <c r="B278" t="s">
        <v>19</v>
      </c>
      <c r="D278">
        <v>1</v>
      </c>
      <c r="E278" t="s">
        <v>23</v>
      </c>
      <c r="F278" t="s">
        <v>514</v>
      </c>
      <c r="G278" t="s">
        <v>515</v>
      </c>
      <c r="H278">
        <v>2241.6799999999998</v>
      </c>
      <c r="I278">
        <v>2241.6799999999998</v>
      </c>
      <c r="J278">
        <v>0</v>
      </c>
      <c r="K278">
        <v>2241.6799999999998</v>
      </c>
      <c r="L278">
        <v>0.1</v>
      </c>
      <c r="M278">
        <v>2490.7555555555555</v>
      </c>
      <c r="N278" s="178">
        <v>44699</v>
      </c>
      <c r="O278" t="s">
        <v>503</v>
      </c>
    </row>
    <row r="279" spans="1:15" x14ac:dyDescent="0.2">
      <c r="A279" t="s">
        <v>485</v>
      </c>
      <c r="B279" t="s">
        <v>19</v>
      </c>
      <c r="D279">
        <v>1</v>
      </c>
      <c r="E279" t="s">
        <v>23</v>
      </c>
      <c r="F279" t="s">
        <v>506</v>
      </c>
      <c r="G279" t="s">
        <v>507</v>
      </c>
      <c r="H279">
        <v>1280.1400000000001</v>
      </c>
      <c r="I279">
        <v>1280.1400000000001</v>
      </c>
      <c r="J279">
        <v>0</v>
      </c>
      <c r="K279">
        <v>1280.1400000000001</v>
      </c>
      <c r="L279">
        <v>0.1</v>
      </c>
      <c r="M279">
        <v>1422.377777777778</v>
      </c>
      <c r="N279" s="178">
        <v>44699</v>
      </c>
      <c r="O279" t="s">
        <v>503</v>
      </c>
    </row>
    <row r="280" spans="1:15" x14ac:dyDescent="0.2">
      <c r="A280" t="s">
        <v>225</v>
      </c>
      <c r="B280" t="s">
        <v>50</v>
      </c>
      <c r="D280">
        <v>1</v>
      </c>
      <c r="E280" t="s">
        <v>23</v>
      </c>
      <c r="F280" t="s">
        <v>240</v>
      </c>
      <c r="G280" t="s">
        <v>241</v>
      </c>
      <c r="H280">
        <v>2778.96</v>
      </c>
      <c r="I280">
        <v>2778.96</v>
      </c>
      <c r="J280">
        <v>0</v>
      </c>
      <c r="K280">
        <v>2778.96</v>
      </c>
      <c r="L280">
        <v>0.1</v>
      </c>
      <c r="M280">
        <v>3087.7333333333331</v>
      </c>
      <c r="N280" s="178">
        <v>44355</v>
      </c>
      <c r="O280" t="s">
        <v>228</v>
      </c>
    </row>
    <row r="281" spans="1:15" x14ac:dyDescent="0.2">
      <c r="A281" t="s">
        <v>225</v>
      </c>
      <c r="B281" t="s">
        <v>19</v>
      </c>
      <c r="D281">
        <v>1</v>
      </c>
      <c r="E281" t="s">
        <v>23</v>
      </c>
      <c r="F281" t="s">
        <v>226</v>
      </c>
      <c r="G281" t="s">
        <v>227</v>
      </c>
      <c r="H281">
        <v>2754.23</v>
      </c>
      <c r="I281">
        <v>2754.23</v>
      </c>
      <c r="J281">
        <v>0</v>
      </c>
      <c r="K281">
        <v>2754.23</v>
      </c>
      <c r="L281">
        <v>0.1</v>
      </c>
      <c r="M281">
        <v>3060.2555555555555</v>
      </c>
      <c r="N281" s="178">
        <v>44587</v>
      </c>
      <c r="O281" t="s">
        <v>228</v>
      </c>
    </row>
    <row r="282" spans="1:15" x14ac:dyDescent="0.2">
      <c r="A282" t="s">
        <v>225</v>
      </c>
      <c r="B282" t="s">
        <v>50</v>
      </c>
      <c r="D282">
        <v>1</v>
      </c>
      <c r="E282" t="s">
        <v>23</v>
      </c>
      <c r="F282" t="s">
        <v>234</v>
      </c>
      <c r="G282" t="s">
        <v>235</v>
      </c>
      <c r="H282">
        <v>5390.34</v>
      </c>
      <c r="I282">
        <v>5390.34</v>
      </c>
      <c r="J282">
        <v>0</v>
      </c>
      <c r="K282">
        <v>5390.34</v>
      </c>
      <c r="L282">
        <v>0.1</v>
      </c>
      <c r="M282">
        <v>5989.2666666666664</v>
      </c>
      <c r="N282" s="178">
        <v>44355</v>
      </c>
      <c r="O282" t="s">
        <v>228</v>
      </c>
    </row>
    <row r="283" spans="1:15" x14ac:dyDescent="0.2">
      <c r="A283" t="s">
        <v>485</v>
      </c>
      <c r="B283" t="s">
        <v>19</v>
      </c>
      <c r="D283">
        <v>1</v>
      </c>
      <c r="E283" t="s">
        <v>23</v>
      </c>
      <c r="F283" t="s">
        <v>504</v>
      </c>
      <c r="G283" t="s">
        <v>505</v>
      </c>
      <c r="H283">
        <v>4081.3</v>
      </c>
      <c r="I283">
        <v>4081.3</v>
      </c>
      <c r="J283">
        <v>0</v>
      </c>
      <c r="K283">
        <v>4081.3</v>
      </c>
      <c r="L283">
        <v>0.1</v>
      </c>
      <c r="M283">
        <v>4534.7777777777783</v>
      </c>
      <c r="N283" s="178">
        <v>44699</v>
      </c>
      <c r="O283" t="s">
        <v>503</v>
      </c>
    </row>
    <row r="284" spans="1:15" x14ac:dyDescent="0.2">
      <c r="A284" t="s">
        <v>342</v>
      </c>
      <c r="B284" t="s">
        <v>50</v>
      </c>
      <c r="D284">
        <v>1</v>
      </c>
      <c r="E284" t="s">
        <v>23</v>
      </c>
      <c r="F284" t="s">
        <v>347</v>
      </c>
      <c r="G284" t="s">
        <v>348</v>
      </c>
      <c r="H284">
        <v>16904.71</v>
      </c>
      <c r="I284">
        <v>16904.71</v>
      </c>
      <c r="J284">
        <v>0</v>
      </c>
      <c r="K284">
        <v>16904.71</v>
      </c>
      <c r="L284">
        <v>0.1</v>
      </c>
      <c r="M284">
        <v>18783.011111111111</v>
      </c>
      <c r="N284" s="178">
        <v>44671</v>
      </c>
      <c r="O284" t="s">
        <v>345</v>
      </c>
    </row>
    <row r="285" spans="1:15" x14ac:dyDescent="0.2">
      <c r="A285" t="s">
        <v>456</v>
      </c>
      <c r="B285" t="s">
        <v>7</v>
      </c>
      <c r="D285">
        <v>1</v>
      </c>
      <c r="E285" t="s">
        <v>23</v>
      </c>
      <c r="F285" t="s">
        <v>463</v>
      </c>
      <c r="G285" t="s">
        <v>464</v>
      </c>
      <c r="H285">
        <v>1357.49</v>
      </c>
      <c r="I285">
        <v>1357.49</v>
      </c>
      <c r="J285">
        <v>0.15</v>
      </c>
      <c r="K285">
        <v>1561.1134999999999</v>
      </c>
      <c r="L285">
        <v>0.1</v>
      </c>
      <c r="M285">
        <v>1734.5705555555555</v>
      </c>
      <c r="N285" s="178">
        <v>44027</v>
      </c>
      <c r="O285" t="s">
        <v>456</v>
      </c>
    </row>
    <row r="286" spans="1:15" x14ac:dyDescent="0.2">
      <c r="A286" t="s">
        <v>485</v>
      </c>
      <c r="B286" t="s">
        <v>19</v>
      </c>
      <c r="D286">
        <v>1</v>
      </c>
      <c r="E286" t="s">
        <v>23</v>
      </c>
      <c r="F286" t="s">
        <v>899</v>
      </c>
      <c r="G286" t="s">
        <v>900</v>
      </c>
      <c r="H286">
        <v>4169.46</v>
      </c>
      <c r="I286">
        <v>4169.46</v>
      </c>
      <c r="J286">
        <v>0</v>
      </c>
      <c r="K286">
        <v>4169.46</v>
      </c>
      <c r="L286">
        <v>0.1</v>
      </c>
      <c r="M286">
        <v>4632.7333333333336</v>
      </c>
      <c r="N286" s="178">
        <v>44823</v>
      </c>
      <c r="O286" t="s">
        <v>221</v>
      </c>
    </row>
    <row r="287" spans="1:15" x14ac:dyDescent="0.2">
      <c r="A287" t="s">
        <v>359</v>
      </c>
      <c r="B287" t="s">
        <v>50</v>
      </c>
      <c r="D287">
        <v>1</v>
      </c>
      <c r="E287" t="s">
        <v>23</v>
      </c>
      <c r="F287" t="s">
        <v>901</v>
      </c>
      <c r="G287" t="s">
        <v>902</v>
      </c>
      <c r="H287">
        <v>1848.86</v>
      </c>
      <c r="I287">
        <v>1848.86</v>
      </c>
      <c r="J287">
        <v>0</v>
      </c>
      <c r="K287">
        <v>1848.86</v>
      </c>
      <c r="L287">
        <v>0.1</v>
      </c>
      <c r="M287">
        <v>2054.2888888888888</v>
      </c>
      <c r="N287" s="178">
        <v>44755</v>
      </c>
      <c r="O287" t="s">
        <v>187</v>
      </c>
    </row>
    <row r="288" spans="1:15" x14ac:dyDescent="0.2">
      <c r="A288" t="s">
        <v>585</v>
      </c>
      <c r="B288" t="s">
        <v>19</v>
      </c>
      <c r="D288">
        <v>1</v>
      </c>
      <c r="E288" t="s">
        <v>23</v>
      </c>
      <c r="F288" t="s">
        <v>903</v>
      </c>
      <c r="G288" t="s">
        <v>904</v>
      </c>
      <c r="H288">
        <v>1281.55</v>
      </c>
      <c r="I288">
        <v>1281.55</v>
      </c>
      <c r="J288">
        <v>9.7500000000000003E-2</v>
      </c>
      <c r="K288">
        <v>1406.501125</v>
      </c>
      <c r="L288">
        <v>0.1</v>
      </c>
      <c r="M288">
        <v>1562.7790277777776</v>
      </c>
      <c r="N288" s="178">
        <v>44755</v>
      </c>
      <c r="O288" t="s">
        <v>183</v>
      </c>
    </row>
    <row r="289" spans="1:15" x14ac:dyDescent="0.2">
      <c r="A289" t="s">
        <v>342</v>
      </c>
      <c r="B289" t="s">
        <v>19</v>
      </c>
      <c r="D289">
        <v>1</v>
      </c>
      <c r="E289" t="s">
        <v>23</v>
      </c>
      <c r="F289" t="s">
        <v>471</v>
      </c>
      <c r="G289" t="s">
        <v>472</v>
      </c>
      <c r="H289">
        <v>2046.41</v>
      </c>
      <c r="I289">
        <v>2046.41</v>
      </c>
      <c r="J289">
        <v>0</v>
      </c>
      <c r="K289">
        <v>2046.41</v>
      </c>
      <c r="L289">
        <v>0.1</v>
      </c>
      <c r="M289">
        <v>2273.7888888888888</v>
      </c>
      <c r="N289" s="178">
        <v>44698</v>
      </c>
      <c r="O289" t="s">
        <v>345</v>
      </c>
    </row>
    <row r="290" spans="1:15" x14ac:dyDescent="0.2">
      <c r="A290" t="s">
        <v>588</v>
      </c>
      <c r="B290" t="s">
        <v>19</v>
      </c>
      <c r="D290">
        <v>1</v>
      </c>
      <c r="E290" t="s">
        <v>23</v>
      </c>
      <c r="F290" t="s">
        <v>905</v>
      </c>
      <c r="G290" t="s">
        <v>906</v>
      </c>
      <c r="H290">
        <v>602.45000000000005</v>
      </c>
      <c r="I290">
        <v>602.45000000000005</v>
      </c>
      <c r="J290">
        <v>0</v>
      </c>
      <c r="K290">
        <v>602.45000000000005</v>
      </c>
      <c r="L290">
        <v>0.1</v>
      </c>
      <c r="M290">
        <v>669.38888888888891</v>
      </c>
      <c r="N290" s="178">
        <v>44762</v>
      </c>
      <c r="O290" t="s">
        <v>588</v>
      </c>
    </row>
    <row r="291" spans="1:15" x14ac:dyDescent="0.2">
      <c r="A291" t="s">
        <v>342</v>
      </c>
      <c r="B291" t="s">
        <v>19</v>
      </c>
      <c r="D291">
        <v>1</v>
      </c>
      <c r="E291" t="s">
        <v>23</v>
      </c>
      <c r="F291" t="s">
        <v>351</v>
      </c>
      <c r="G291" t="s">
        <v>352</v>
      </c>
      <c r="H291">
        <v>1846.37</v>
      </c>
      <c r="I291">
        <v>1846.37</v>
      </c>
      <c r="J291">
        <v>0</v>
      </c>
      <c r="K291">
        <v>1846.37</v>
      </c>
      <c r="L291">
        <v>0.1</v>
      </c>
      <c r="M291">
        <v>2051.5222222222219</v>
      </c>
      <c r="N291" s="178">
        <v>44582</v>
      </c>
      <c r="O291" t="s">
        <v>345</v>
      </c>
    </row>
    <row r="292" spans="1:15" x14ac:dyDescent="0.2">
      <c r="A292" t="s">
        <v>342</v>
      </c>
      <c r="B292" t="s">
        <v>19</v>
      </c>
      <c r="D292">
        <v>1</v>
      </c>
      <c r="E292" t="s">
        <v>23</v>
      </c>
      <c r="F292" t="s">
        <v>214</v>
      </c>
      <c r="G292" t="s">
        <v>215</v>
      </c>
      <c r="H292">
        <v>2273.6999999999998</v>
      </c>
      <c r="I292">
        <v>2273.6999999999998</v>
      </c>
      <c r="J292">
        <v>0</v>
      </c>
      <c r="K292">
        <v>2273.6999999999998</v>
      </c>
      <c r="L292">
        <v>0.1</v>
      </c>
      <c r="M292">
        <v>2526.333333333333</v>
      </c>
      <c r="N292" s="178">
        <v>44698</v>
      </c>
      <c r="O292" t="s">
        <v>345</v>
      </c>
    </row>
    <row r="293" spans="1:15" x14ac:dyDescent="0.2">
      <c r="A293" t="s">
        <v>342</v>
      </c>
      <c r="B293" t="s">
        <v>19</v>
      </c>
      <c r="D293">
        <v>1</v>
      </c>
      <c r="E293" t="s">
        <v>23</v>
      </c>
      <c r="F293" t="s">
        <v>355</v>
      </c>
      <c r="G293" t="s">
        <v>356</v>
      </c>
      <c r="H293">
        <v>1488.81</v>
      </c>
      <c r="I293">
        <v>1488.81</v>
      </c>
      <c r="J293">
        <v>0</v>
      </c>
      <c r="K293">
        <v>1488.81</v>
      </c>
      <c r="L293">
        <v>0.1</v>
      </c>
      <c r="M293">
        <v>1654.2333333333331</v>
      </c>
      <c r="N293" s="178">
        <v>44582</v>
      </c>
      <c r="O293" t="s">
        <v>345</v>
      </c>
    </row>
    <row r="294" spans="1:15" x14ac:dyDescent="0.2">
      <c r="A294" t="s">
        <v>342</v>
      </c>
      <c r="B294" t="s">
        <v>19</v>
      </c>
      <c r="D294">
        <v>1</v>
      </c>
      <c r="E294" t="s">
        <v>23</v>
      </c>
      <c r="F294" t="s">
        <v>353</v>
      </c>
      <c r="G294" t="s">
        <v>354</v>
      </c>
      <c r="H294">
        <v>1488.81</v>
      </c>
      <c r="I294">
        <v>1488.81</v>
      </c>
      <c r="J294">
        <v>0</v>
      </c>
      <c r="K294">
        <v>1488.81</v>
      </c>
      <c r="L294">
        <v>0.1</v>
      </c>
      <c r="M294">
        <v>1654.2333333333331</v>
      </c>
      <c r="N294" s="178">
        <v>44582</v>
      </c>
      <c r="O294" t="s">
        <v>345</v>
      </c>
    </row>
    <row r="295" spans="1:15" x14ac:dyDescent="0.2">
      <c r="A295" t="s">
        <v>342</v>
      </c>
      <c r="B295" t="s">
        <v>19</v>
      </c>
      <c r="D295">
        <v>1</v>
      </c>
      <c r="E295" t="s">
        <v>23</v>
      </c>
      <c r="F295" t="s">
        <v>212</v>
      </c>
      <c r="G295" t="s">
        <v>213</v>
      </c>
      <c r="H295">
        <v>1685.08</v>
      </c>
      <c r="I295">
        <v>1685.08</v>
      </c>
      <c r="J295">
        <v>0</v>
      </c>
      <c r="K295">
        <v>1685.08</v>
      </c>
      <c r="L295">
        <v>0.1</v>
      </c>
      <c r="M295">
        <v>1872.3111111111109</v>
      </c>
      <c r="N295" s="178">
        <v>44671</v>
      </c>
      <c r="O295" t="s">
        <v>345</v>
      </c>
    </row>
    <row r="296" spans="1:15" x14ac:dyDescent="0.2">
      <c r="A296" t="s">
        <v>342</v>
      </c>
      <c r="B296" t="s">
        <v>19</v>
      </c>
      <c r="D296">
        <v>1</v>
      </c>
      <c r="E296" t="s">
        <v>23</v>
      </c>
      <c r="F296" t="s">
        <v>349</v>
      </c>
      <c r="G296" t="s">
        <v>350</v>
      </c>
      <c r="H296">
        <v>6307.24</v>
      </c>
      <c r="I296">
        <v>6307.24</v>
      </c>
      <c r="J296">
        <v>0</v>
      </c>
      <c r="K296">
        <v>6307.24</v>
      </c>
      <c r="L296">
        <v>0.1</v>
      </c>
      <c r="M296">
        <v>7008.0444444444438</v>
      </c>
      <c r="N296" s="178">
        <v>44698</v>
      </c>
      <c r="O296" t="s">
        <v>345</v>
      </c>
    </row>
    <row r="297" spans="1:15" x14ac:dyDescent="0.2">
      <c r="A297" t="s">
        <v>405</v>
      </c>
      <c r="B297" t="s">
        <v>50</v>
      </c>
      <c r="D297">
        <v>1</v>
      </c>
      <c r="E297" t="s">
        <v>23</v>
      </c>
      <c r="F297" t="s">
        <v>419</v>
      </c>
      <c r="G297" t="s">
        <v>420</v>
      </c>
      <c r="H297">
        <v>1766.26</v>
      </c>
      <c r="I297">
        <v>1766.26</v>
      </c>
      <c r="J297">
        <v>0</v>
      </c>
      <c r="K297">
        <v>1766.26</v>
      </c>
      <c r="L297">
        <v>0.1</v>
      </c>
      <c r="M297">
        <v>1962.5111111111109</v>
      </c>
      <c r="N297" s="178">
        <v>44671</v>
      </c>
      <c r="O297" t="s">
        <v>408</v>
      </c>
    </row>
    <row r="298" spans="1:15" x14ac:dyDescent="0.2">
      <c r="A298" t="s">
        <v>588</v>
      </c>
      <c r="B298" t="s">
        <v>19</v>
      </c>
      <c r="D298">
        <v>1</v>
      </c>
      <c r="E298" t="s">
        <v>23</v>
      </c>
      <c r="F298" t="s">
        <v>907</v>
      </c>
      <c r="G298" t="s">
        <v>908</v>
      </c>
      <c r="H298">
        <v>312.95999999999998</v>
      </c>
      <c r="I298">
        <v>312.95999999999998</v>
      </c>
      <c r="J298">
        <v>0</v>
      </c>
      <c r="K298">
        <v>312.95999999999998</v>
      </c>
      <c r="L298">
        <v>0.1</v>
      </c>
      <c r="M298">
        <v>347.73333333333329</v>
      </c>
      <c r="N298" s="178">
        <v>44762</v>
      </c>
      <c r="O298" t="s">
        <v>588</v>
      </c>
    </row>
    <row r="299" spans="1:15" x14ac:dyDescent="0.2">
      <c r="A299" t="s">
        <v>588</v>
      </c>
      <c r="B299" t="s">
        <v>19</v>
      </c>
      <c r="D299">
        <v>1</v>
      </c>
      <c r="E299" t="s">
        <v>23</v>
      </c>
      <c r="F299" t="s">
        <v>909</v>
      </c>
      <c r="G299" t="s">
        <v>910</v>
      </c>
      <c r="H299">
        <v>469.44</v>
      </c>
      <c r="I299">
        <v>469.44</v>
      </c>
      <c r="J299">
        <v>0</v>
      </c>
      <c r="K299">
        <v>469.44</v>
      </c>
      <c r="L299">
        <v>0.1</v>
      </c>
      <c r="M299">
        <v>521.6</v>
      </c>
      <c r="N299" s="178">
        <v>44762</v>
      </c>
      <c r="O299" t="s">
        <v>588</v>
      </c>
    </row>
    <row r="300" spans="1:15" x14ac:dyDescent="0.2">
      <c r="A300" t="s">
        <v>588</v>
      </c>
      <c r="B300" t="s">
        <v>19</v>
      </c>
      <c r="D300">
        <v>1</v>
      </c>
      <c r="E300" t="s">
        <v>23</v>
      </c>
      <c r="F300" t="s">
        <v>911</v>
      </c>
      <c r="G300" t="s">
        <v>912</v>
      </c>
      <c r="H300">
        <v>1525.68</v>
      </c>
      <c r="I300">
        <v>1525.68</v>
      </c>
      <c r="J300">
        <v>0</v>
      </c>
      <c r="K300">
        <v>1525.68</v>
      </c>
      <c r="L300">
        <v>0.1</v>
      </c>
      <c r="M300">
        <v>1695.2</v>
      </c>
      <c r="N300" s="178">
        <v>44762</v>
      </c>
      <c r="O300" t="s">
        <v>588</v>
      </c>
    </row>
    <row r="301" spans="1:15" x14ac:dyDescent="0.2">
      <c r="A301" t="s">
        <v>588</v>
      </c>
      <c r="B301" t="s">
        <v>19</v>
      </c>
      <c r="D301">
        <v>1</v>
      </c>
      <c r="E301" t="s">
        <v>23</v>
      </c>
      <c r="F301" t="s">
        <v>913</v>
      </c>
      <c r="G301" t="s">
        <v>914</v>
      </c>
      <c r="H301">
        <v>743.28</v>
      </c>
      <c r="I301">
        <v>743.28</v>
      </c>
      <c r="J301">
        <v>0</v>
      </c>
      <c r="K301">
        <v>743.28</v>
      </c>
      <c r="L301">
        <v>0.1</v>
      </c>
      <c r="M301">
        <v>825.86666666666656</v>
      </c>
      <c r="N301" s="178">
        <v>44762</v>
      </c>
      <c r="O301" t="s">
        <v>588</v>
      </c>
    </row>
    <row r="302" spans="1:15" x14ac:dyDescent="0.2">
      <c r="A302" t="s">
        <v>485</v>
      </c>
      <c r="B302" t="s">
        <v>49</v>
      </c>
      <c r="D302">
        <v>1</v>
      </c>
      <c r="E302" t="s">
        <v>23</v>
      </c>
      <c r="F302" t="s">
        <v>915</v>
      </c>
      <c r="G302" t="s">
        <v>916</v>
      </c>
      <c r="H302">
        <v>8005.42</v>
      </c>
      <c r="I302">
        <v>8005.42</v>
      </c>
      <c r="J302">
        <v>0</v>
      </c>
      <c r="K302">
        <v>8005.42</v>
      </c>
      <c r="L302">
        <v>0.1</v>
      </c>
      <c r="M302">
        <v>8894.9111111111106</v>
      </c>
      <c r="N302" s="178">
        <v>44776</v>
      </c>
      <c r="O302" t="s">
        <v>221</v>
      </c>
    </row>
    <row r="303" spans="1:15" x14ac:dyDescent="0.2">
      <c r="A303" t="s">
        <v>485</v>
      </c>
      <c r="B303" t="s">
        <v>49</v>
      </c>
      <c r="D303">
        <v>1</v>
      </c>
      <c r="E303" t="s">
        <v>23</v>
      </c>
      <c r="F303" t="s">
        <v>917</v>
      </c>
      <c r="G303" t="s">
        <v>918</v>
      </c>
      <c r="H303">
        <v>10558.38</v>
      </c>
      <c r="I303">
        <v>10558.38</v>
      </c>
      <c r="J303">
        <v>0</v>
      </c>
      <c r="K303">
        <v>10558.38</v>
      </c>
      <c r="L303">
        <v>0.1</v>
      </c>
      <c r="M303">
        <v>11731.533333333333</v>
      </c>
      <c r="N303" s="178">
        <v>44776</v>
      </c>
      <c r="O303" t="s">
        <v>221</v>
      </c>
    </row>
    <row r="304" spans="1:15" x14ac:dyDescent="0.2">
      <c r="A304" t="s">
        <v>485</v>
      </c>
      <c r="B304" t="s">
        <v>49</v>
      </c>
      <c r="D304">
        <v>1</v>
      </c>
      <c r="E304" t="s">
        <v>23</v>
      </c>
      <c r="F304" t="s">
        <v>919</v>
      </c>
      <c r="G304" t="s">
        <v>920</v>
      </c>
      <c r="H304">
        <v>3100.01</v>
      </c>
      <c r="I304">
        <v>3100.01</v>
      </c>
      <c r="J304">
        <v>0</v>
      </c>
      <c r="K304">
        <v>3100.01</v>
      </c>
      <c r="L304">
        <v>0.1</v>
      </c>
      <c r="M304">
        <v>3444.4555555555557</v>
      </c>
      <c r="N304" s="178">
        <v>44776</v>
      </c>
      <c r="O304" t="s">
        <v>221</v>
      </c>
    </row>
    <row r="305" spans="1:15" x14ac:dyDescent="0.2">
      <c r="A305" t="s">
        <v>485</v>
      </c>
      <c r="B305" t="s">
        <v>49</v>
      </c>
      <c r="D305">
        <v>1</v>
      </c>
      <c r="E305" t="s">
        <v>23</v>
      </c>
      <c r="F305" t="s">
        <v>921</v>
      </c>
      <c r="G305" t="s">
        <v>922</v>
      </c>
      <c r="H305">
        <v>15680.76</v>
      </c>
      <c r="I305">
        <v>15680.76</v>
      </c>
      <c r="J305">
        <v>0</v>
      </c>
      <c r="K305">
        <v>15680.76</v>
      </c>
      <c r="L305">
        <v>0.1</v>
      </c>
      <c r="M305">
        <v>17423.066666666666</v>
      </c>
      <c r="N305" s="178">
        <v>44776</v>
      </c>
      <c r="O305" t="s">
        <v>221</v>
      </c>
    </row>
    <row r="306" spans="1:15" x14ac:dyDescent="0.2">
      <c r="A306" t="s">
        <v>485</v>
      </c>
      <c r="B306" t="s">
        <v>49</v>
      </c>
      <c r="D306">
        <v>1</v>
      </c>
      <c r="E306" t="s">
        <v>23</v>
      </c>
      <c r="F306" t="s">
        <v>923</v>
      </c>
      <c r="G306" t="s">
        <v>924</v>
      </c>
      <c r="H306">
        <v>21676.959999999999</v>
      </c>
      <c r="I306">
        <v>21676.959999999999</v>
      </c>
      <c r="J306">
        <v>0</v>
      </c>
      <c r="K306">
        <v>21676.959999999999</v>
      </c>
      <c r="L306">
        <v>0.1</v>
      </c>
      <c r="M306">
        <v>24085.511111111111</v>
      </c>
      <c r="N306" s="178">
        <v>44776</v>
      </c>
      <c r="O306" t="s">
        <v>221</v>
      </c>
    </row>
    <row r="307" spans="1:15" x14ac:dyDescent="0.2">
      <c r="A307" t="s">
        <v>485</v>
      </c>
      <c r="B307" t="s">
        <v>49</v>
      </c>
      <c r="D307">
        <v>1</v>
      </c>
      <c r="E307" t="s">
        <v>23</v>
      </c>
      <c r="F307" t="s">
        <v>925</v>
      </c>
      <c r="G307" t="s">
        <v>926</v>
      </c>
      <c r="H307">
        <v>6198.77</v>
      </c>
      <c r="I307">
        <v>6198.77</v>
      </c>
      <c r="J307">
        <v>0</v>
      </c>
      <c r="K307">
        <v>6198.77</v>
      </c>
      <c r="L307">
        <v>0.1</v>
      </c>
      <c r="M307">
        <v>6887.5222222222228</v>
      </c>
      <c r="N307" s="178">
        <v>44776</v>
      </c>
      <c r="O307" t="s">
        <v>221</v>
      </c>
    </row>
    <row r="308" spans="1:15" x14ac:dyDescent="0.2">
      <c r="A308" t="s">
        <v>359</v>
      </c>
      <c r="B308" t="s">
        <v>184</v>
      </c>
      <c r="D308">
        <v>1</v>
      </c>
      <c r="E308" t="s">
        <v>23</v>
      </c>
      <c r="F308" t="s">
        <v>927</v>
      </c>
      <c r="G308" t="s">
        <v>928</v>
      </c>
      <c r="H308">
        <v>63.44</v>
      </c>
      <c r="I308">
        <v>63.44</v>
      </c>
      <c r="J308">
        <v>0</v>
      </c>
      <c r="K308">
        <v>63.44</v>
      </c>
      <c r="L308">
        <v>0.1</v>
      </c>
      <c r="M308">
        <v>70.48888888888888</v>
      </c>
      <c r="N308" s="178">
        <v>44723</v>
      </c>
      <c r="O308" t="s">
        <v>187</v>
      </c>
    </row>
    <row r="309" spans="1:15" x14ac:dyDescent="0.2">
      <c r="A309" t="s">
        <v>359</v>
      </c>
      <c r="B309" t="s">
        <v>184</v>
      </c>
      <c r="D309">
        <v>1</v>
      </c>
      <c r="E309" t="s">
        <v>23</v>
      </c>
      <c r="F309" t="s">
        <v>929</v>
      </c>
      <c r="G309" t="s">
        <v>930</v>
      </c>
      <c r="H309">
        <v>72.48</v>
      </c>
      <c r="I309">
        <v>72.48</v>
      </c>
      <c r="J309">
        <v>0</v>
      </c>
      <c r="K309">
        <v>72.48</v>
      </c>
      <c r="L309">
        <v>0.1</v>
      </c>
      <c r="M309">
        <v>80.533333333333331</v>
      </c>
      <c r="N309" s="178">
        <v>44723</v>
      </c>
      <c r="O309" t="s">
        <v>187</v>
      </c>
    </row>
    <row r="310" spans="1:15" x14ac:dyDescent="0.2">
      <c r="A310" t="s">
        <v>359</v>
      </c>
      <c r="B310" t="s">
        <v>184</v>
      </c>
      <c r="D310">
        <v>1</v>
      </c>
      <c r="E310" t="s">
        <v>23</v>
      </c>
      <c r="F310" t="s">
        <v>372</v>
      </c>
      <c r="G310" t="s">
        <v>373</v>
      </c>
      <c r="H310">
        <v>92.47</v>
      </c>
      <c r="I310">
        <v>92.47</v>
      </c>
      <c r="J310">
        <v>0</v>
      </c>
      <c r="K310">
        <v>92.47</v>
      </c>
      <c r="L310">
        <v>0.1</v>
      </c>
      <c r="M310">
        <v>102.74444444444444</v>
      </c>
      <c r="N310" s="178">
        <v>44671</v>
      </c>
      <c r="O310" t="s">
        <v>187</v>
      </c>
    </row>
    <row r="311" spans="1:15" x14ac:dyDescent="0.2">
      <c r="A311" t="s">
        <v>359</v>
      </c>
      <c r="B311" t="s">
        <v>50</v>
      </c>
      <c r="D311">
        <v>1</v>
      </c>
      <c r="E311" t="s">
        <v>23</v>
      </c>
      <c r="F311" t="s">
        <v>931</v>
      </c>
      <c r="G311" t="s">
        <v>932</v>
      </c>
      <c r="H311">
        <v>1923.1</v>
      </c>
      <c r="I311">
        <v>1923.1</v>
      </c>
      <c r="J311">
        <v>0</v>
      </c>
      <c r="K311">
        <v>1923.1</v>
      </c>
      <c r="L311">
        <v>0.1</v>
      </c>
      <c r="M311">
        <v>2136.7777777777778</v>
      </c>
      <c r="N311" s="178">
        <v>44755</v>
      </c>
      <c r="O311" t="s">
        <v>187</v>
      </c>
    </row>
    <row r="312" spans="1:15" x14ac:dyDescent="0.2">
      <c r="A312" t="s">
        <v>588</v>
      </c>
      <c r="B312" t="s">
        <v>19</v>
      </c>
      <c r="D312">
        <v>1</v>
      </c>
      <c r="E312" t="s">
        <v>23</v>
      </c>
      <c r="F312" t="s">
        <v>933</v>
      </c>
      <c r="G312" t="s">
        <v>934</v>
      </c>
      <c r="H312">
        <v>657.22</v>
      </c>
      <c r="I312">
        <v>657.22</v>
      </c>
      <c r="J312">
        <v>0</v>
      </c>
      <c r="K312">
        <v>657.22</v>
      </c>
      <c r="L312">
        <v>0.1</v>
      </c>
      <c r="M312">
        <v>730.24444444444441</v>
      </c>
      <c r="N312" s="178">
        <v>44762</v>
      </c>
      <c r="O312" t="s">
        <v>588</v>
      </c>
    </row>
    <row r="313" spans="1:15" x14ac:dyDescent="0.2">
      <c r="A313" t="s">
        <v>588</v>
      </c>
      <c r="B313" t="s">
        <v>19</v>
      </c>
      <c r="D313">
        <v>1</v>
      </c>
      <c r="E313" t="s">
        <v>23</v>
      </c>
      <c r="F313" t="s">
        <v>935</v>
      </c>
      <c r="G313" t="s">
        <v>936</v>
      </c>
      <c r="H313">
        <v>1022.34</v>
      </c>
      <c r="I313">
        <v>1022.34</v>
      </c>
      <c r="J313">
        <v>0</v>
      </c>
      <c r="K313">
        <v>1022.34</v>
      </c>
      <c r="L313">
        <v>0.1</v>
      </c>
      <c r="M313">
        <v>1135.9333333333334</v>
      </c>
      <c r="N313" s="178">
        <v>44762</v>
      </c>
      <c r="O313" t="s">
        <v>588</v>
      </c>
    </row>
    <row r="314" spans="1:15" x14ac:dyDescent="0.2">
      <c r="A314" t="s">
        <v>585</v>
      </c>
      <c r="B314" t="s">
        <v>19</v>
      </c>
      <c r="D314">
        <v>1</v>
      </c>
      <c r="E314" t="s">
        <v>23</v>
      </c>
      <c r="F314" t="s">
        <v>937</v>
      </c>
      <c r="G314" t="s">
        <v>938</v>
      </c>
      <c r="H314">
        <v>209.94</v>
      </c>
      <c r="I314">
        <v>209.94</v>
      </c>
      <c r="J314">
        <v>9.7500000000000003E-2</v>
      </c>
      <c r="K314">
        <v>230.40915000000001</v>
      </c>
      <c r="L314">
        <v>0.1</v>
      </c>
      <c r="M314">
        <v>256.01016666666669</v>
      </c>
      <c r="N314" s="178">
        <v>44755</v>
      </c>
      <c r="O314" t="s">
        <v>183</v>
      </c>
    </row>
    <row r="315" spans="1:15" x14ac:dyDescent="0.2">
      <c r="A315" t="s">
        <v>585</v>
      </c>
      <c r="B315" t="s">
        <v>19</v>
      </c>
      <c r="D315">
        <v>1</v>
      </c>
      <c r="E315" t="s">
        <v>23</v>
      </c>
      <c r="F315" t="s">
        <v>939</v>
      </c>
      <c r="G315" t="s">
        <v>940</v>
      </c>
      <c r="H315">
        <v>261.08</v>
      </c>
      <c r="I315">
        <v>261.08</v>
      </c>
      <c r="J315">
        <v>9.7500000000000003E-2</v>
      </c>
      <c r="K315">
        <v>286.53530000000001</v>
      </c>
      <c r="L315">
        <v>0.1</v>
      </c>
      <c r="M315">
        <v>318.37255555555555</v>
      </c>
      <c r="N315" s="178">
        <v>44755</v>
      </c>
      <c r="O315" t="s">
        <v>183</v>
      </c>
    </row>
    <row r="316" spans="1:15" x14ac:dyDescent="0.2">
      <c r="A316" t="s">
        <v>456</v>
      </c>
      <c r="B316" t="s">
        <v>50</v>
      </c>
      <c r="D316">
        <v>1</v>
      </c>
      <c r="E316" t="s">
        <v>23</v>
      </c>
      <c r="F316" t="s">
        <v>941</v>
      </c>
      <c r="G316" t="s">
        <v>942</v>
      </c>
      <c r="H316">
        <v>1617.04</v>
      </c>
      <c r="I316">
        <v>1617.04</v>
      </c>
      <c r="J316">
        <v>9.7500000000000003E-2</v>
      </c>
      <c r="K316">
        <v>1774.7013999999999</v>
      </c>
      <c r="L316">
        <v>0.1</v>
      </c>
      <c r="M316">
        <v>1971.8904444444443</v>
      </c>
      <c r="N316" s="178">
        <v>44782</v>
      </c>
      <c r="O316" t="s">
        <v>456</v>
      </c>
    </row>
    <row r="317" spans="1:15" x14ac:dyDescent="0.2">
      <c r="A317" t="s">
        <v>456</v>
      </c>
      <c r="B317" t="s">
        <v>50</v>
      </c>
      <c r="D317">
        <v>1</v>
      </c>
      <c r="E317" t="s">
        <v>23</v>
      </c>
      <c r="F317" t="s">
        <v>943</v>
      </c>
      <c r="G317" t="s">
        <v>944</v>
      </c>
      <c r="H317">
        <v>3189.2</v>
      </c>
      <c r="I317">
        <v>3189.2</v>
      </c>
      <c r="J317">
        <v>9.7500000000000003E-2</v>
      </c>
      <c r="K317">
        <v>3500.1469999999999</v>
      </c>
      <c r="L317">
        <v>0.1</v>
      </c>
      <c r="M317">
        <v>3889.0522222222221</v>
      </c>
      <c r="N317" s="178">
        <v>44782</v>
      </c>
      <c r="O317" t="s">
        <v>456</v>
      </c>
    </row>
    <row r="318" spans="1:15" x14ac:dyDescent="0.2">
      <c r="A318" t="s">
        <v>222</v>
      </c>
      <c r="B318" t="s">
        <v>49</v>
      </c>
      <c r="D318">
        <v>1</v>
      </c>
      <c r="E318" t="s">
        <v>23</v>
      </c>
      <c r="F318" t="s">
        <v>945</v>
      </c>
      <c r="G318" t="s">
        <v>946</v>
      </c>
      <c r="H318">
        <v>791.68</v>
      </c>
      <c r="I318">
        <v>791.68</v>
      </c>
      <c r="J318">
        <v>9.7500000000000003E-2</v>
      </c>
      <c r="K318">
        <v>868.86879999999996</v>
      </c>
      <c r="L318">
        <v>0.1</v>
      </c>
      <c r="M318">
        <v>965.40977777777766</v>
      </c>
      <c r="N318" s="178">
        <v>44755</v>
      </c>
      <c r="O318" t="s">
        <v>183</v>
      </c>
    </row>
    <row r="319" spans="1:15" x14ac:dyDescent="0.2">
      <c r="A319" t="s">
        <v>342</v>
      </c>
      <c r="B319" t="s">
        <v>19</v>
      </c>
      <c r="D319">
        <v>1</v>
      </c>
      <c r="E319" t="s">
        <v>23</v>
      </c>
      <c r="F319" t="s">
        <v>481</v>
      </c>
      <c r="G319" t="s">
        <v>482</v>
      </c>
      <c r="H319">
        <v>1076</v>
      </c>
      <c r="I319">
        <v>1076</v>
      </c>
      <c r="J319">
        <v>0</v>
      </c>
      <c r="K319">
        <v>1076</v>
      </c>
      <c r="L319">
        <v>0.1</v>
      </c>
      <c r="M319">
        <v>1195.5555555555554</v>
      </c>
      <c r="N319" s="178">
        <v>44698</v>
      </c>
      <c r="O319" t="s">
        <v>345</v>
      </c>
    </row>
    <row r="320" spans="1:15" x14ac:dyDescent="0.2">
      <c r="A320" t="s">
        <v>342</v>
      </c>
      <c r="B320" t="s">
        <v>19</v>
      </c>
      <c r="D320">
        <v>1</v>
      </c>
      <c r="E320" t="s">
        <v>23</v>
      </c>
      <c r="F320" t="s">
        <v>483</v>
      </c>
      <c r="G320" t="s">
        <v>484</v>
      </c>
      <c r="H320">
        <v>1020.99</v>
      </c>
      <c r="I320">
        <v>1020.99</v>
      </c>
      <c r="J320">
        <v>0</v>
      </c>
      <c r="K320">
        <v>1020.99</v>
      </c>
      <c r="L320">
        <v>0.1</v>
      </c>
      <c r="M320">
        <v>1134.4333333333334</v>
      </c>
      <c r="N320" s="178">
        <v>44698</v>
      </c>
      <c r="O320" t="s">
        <v>345</v>
      </c>
    </row>
    <row r="321" spans="1:15" x14ac:dyDescent="0.2">
      <c r="A321" t="s">
        <v>485</v>
      </c>
      <c r="B321" t="s">
        <v>19</v>
      </c>
      <c r="D321">
        <v>1</v>
      </c>
      <c r="E321" t="s">
        <v>23</v>
      </c>
      <c r="F321" t="s">
        <v>516</v>
      </c>
      <c r="G321" t="s">
        <v>517</v>
      </c>
      <c r="H321">
        <v>3780.33</v>
      </c>
      <c r="I321">
        <v>3780.33</v>
      </c>
      <c r="J321">
        <v>0</v>
      </c>
      <c r="K321">
        <v>3780.33</v>
      </c>
      <c r="L321">
        <v>0.1</v>
      </c>
      <c r="M321">
        <v>4200.3666666666668</v>
      </c>
      <c r="N321" s="178">
        <v>44699</v>
      </c>
      <c r="O321" t="s">
        <v>503</v>
      </c>
    </row>
    <row r="322" spans="1:15" x14ac:dyDescent="0.2">
      <c r="A322" t="s">
        <v>485</v>
      </c>
      <c r="B322" t="s">
        <v>49</v>
      </c>
      <c r="D322">
        <v>1</v>
      </c>
      <c r="E322" t="s">
        <v>23</v>
      </c>
      <c r="F322" t="s">
        <v>947</v>
      </c>
      <c r="G322" t="s">
        <v>948</v>
      </c>
      <c r="H322">
        <v>1836.99</v>
      </c>
      <c r="I322">
        <v>1836.99</v>
      </c>
      <c r="J322">
        <v>0</v>
      </c>
      <c r="K322">
        <v>1836.99</v>
      </c>
      <c r="L322">
        <v>0.1</v>
      </c>
      <c r="M322">
        <v>2041.1</v>
      </c>
      <c r="N322" s="178">
        <v>44776</v>
      </c>
      <c r="O322" t="s">
        <v>221</v>
      </c>
    </row>
    <row r="323" spans="1:15" x14ac:dyDescent="0.2">
      <c r="A323" t="s">
        <v>359</v>
      </c>
      <c r="B323" t="s">
        <v>49</v>
      </c>
      <c r="D323">
        <v>1</v>
      </c>
      <c r="E323" t="s">
        <v>23</v>
      </c>
      <c r="F323" t="s">
        <v>531</v>
      </c>
      <c r="G323" t="s">
        <v>532</v>
      </c>
      <c r="H323">
        <v>2712.91</v>
      </c>
      <c r="I323">
        <v>2712.91</v>
      </c>
      <c r="J323">
        <v>0</v>
      </c>
      <c r="K323">
        <v>2712.91</v>
      </c>
      <c r="L323">
        <v>0.1</v>
      </c>
      <c r="M323">
        <v>3014.3444444444444</v>
      </c>
      <c r="N323" s="178">
        <v>44845</v>
      </c>
      <c r="O323" t="s">
        <v>187</v>
      </c>
    </row>
    <row r="324" spans="1:15" x14ac:dyDescent="0.2">
      <c r="A324" t="s">
        <v>538</v>
      </c>
      <c r="B324" t="s">
        <v>49</v>
      </c>
      <c r="D324">
        <v>1</v>
      </c>
      <c r="E324" t="s">
        <v>23</v>
      </c>
      <c r="F324" t="s">
        <v>544</v>
      </c>
      <c r="G324" t="s">
        <v>545</v>
      </c>
      <c r="H324">
        <v>2378.42</v>
      </c>
      <c r="I324">
        <v>2378.42</v>
      </c>
      <c r="J324">
        <v>3.2500000000000001E-2</v>
      </c>
      <c r="K324">
        <v>2455.7186500000003</v>
      </c>
      <c r="L324">
        <v>0.1</v>
      </c>
      <c r="M324">
        <v>2728.5762777777782</v>
      </c>
      <c r="N324" s="178">
        <v>44723</v>
      </c>
      <c r="O324" t="s">
        <v>541</v>
      </c>
    </row>
    <row r="325" spans="1:15" x14ac:dyDescent="0.2">
      <c r="A325" t="s">
        <v>538</v>
      </c>
      <c r="B325" t="s">
        <v>49</v>
      </c>
      <c r="D325">
        <v>1</v>
      </c>
      <c r="E325" t="s">
        <v>23</v>
      </c>
      <c r="F325" t="s">
        <v>546</v>
      </c>
      <c r="G325" t="s">
        <v>547</v>
      </c>
      <c r="H325">
        <v>3442.95</v>
      </c>
      <c r="I325">
        <v>3442.95</v>
      </c>
      <c r="J325">
        <v>3.2500000000000001E-2</v>
      </c>
      <c r="K325">
        <v>3554.845875</v>
      </c>
      <c r="L325">
        <v>0.1</v>
      </c>
      <c r="M325">
        <v>3949.8287499999997</v>
      </c>
      <c r="N325" s="178">
        <v>44723</v>
      </c>
      <c r="O325" t="s">
        <v>541</v>
      </c>
    </row>
    <row r="326" spans="1:15" x14ac:dyDescent="0.2">
      <c r="A326" t="s">
        <v>222</v>
      </c>
      <c r="B326" t="s">
        <v>49</v>
      </c>
      <c r="D326">
        <v>1</v>
      </c>
      <c r="E326" t="s">
        <v>23</v>
      </c>
      <c r="F326" t="s">
        <v>949</v>
      </c>
      <c r="G326" t="s">
        <v>950</v>
      </c>
      <c r="H326">
        <v>3120.96</v>
      </c>
      <c r="I326">
        <v>3120.96</v>
      </c>
      <c r="J326">
        <v>3.2500000000000001E-2</v>
      </c>
      <c r="K326">
        <v>3222.3912</v>
      </c>
      <c r="L326">
        <v>0.1</v>
      </c>
      <c r="M326">
        <v>3580.4346666666665</v>
      </c>
      <c r="N326" s="178">
        <v>44851</v>
      </c>
      <c r="O326" t="s">
        <v>183</v>
      </c>
    </row>
    <row r="327" spans="1:15" x14ac:dyDescent="0.2">
      <c r="A327" t="s">
        <v>538</v>
      </c>
      <c r="B327" t="s">
        <v>49</v>
      </c>
      <c r="D327">
        <v>1</v>
      </c>
      <c r="E327" t="s">
        <v>23</v>
      </c>
      <c r="F327" t="s">
        <v>539</v>
      </c>
      <c r="G327" t="s">
        <v>540</v>
      </c>
      <c r="H327">
        <v>2175.36</v>
      </c>
      <c r="I327">
        <v>2175.36</v>
      </c>
      <c r="J327">
        <v>3.2500000000000001E-2</v>
      </c>
      <c r="K327">
        <v>2246.0592000000001</v>
      </c>
      <c r="L327">
        <v>0.1</v>
      </c>
      <c r="M327">
        <v>2495.6213333333335</v>
      </c>
      <c r="N327" s="178">
        <v>44723</v>
      </c>
      <c r="O327" t="s">
        <v>541</v>
      </c>
    </row>
    <row r="328" spans="1:15" x14ac:dyDescent="0.2">
      <c r="A328" t="s">
        <v>538</v>
      </c>
      <c r="B328" t="s">
        <v>49</v>
      </c>
      <c r="D328">
        <v>1</v>
      </c>
      <c r="E328" t="s">
        <v>23</v>
      </c>
      <c r="F328" t="s">
        <v>542</v>
      </c>
      <c r="G328" t="s">
        <v>543</v>
      </c>
      <c r="H328">
        <v>2329.42</v>
      </c>
      <c r="I328">
        <v>2329.42</v>
      </c>
      <c r="J328">
        <v>3.2500000000000001E-2</v>
      </c>
      <c r="K328">
        <v>2405.1261500000001</v>
      </c>
      <c r="L328">
        <v>0.1</v>
      </c>
      <c r="M328">
        <v>2672.3623888888887</v>
      </c>
      <c r="N328" s="178">
        <v>44723</v>
      </c>
      <c r="O328" t="s">
        <v>541</v>
      </c>
    </row>
    <row r="329" spans="1:15" x14ac:dyDescent="0.2">
      <c r="A329" t="s">
        <v>222</v>
      </c>
      <c r="B329" t="s">
        <v>49</v>
      </c>
      <c r="D329">
        <v>1</v>
      </c>
      <c r="E329" t="s">
        <v>23</v>
      </c>
      <c r="F329" t="s">
        <v>535</v>
      </c>
      <c r="G329" t="s">
        <v>951</v>
      </c>
      <c r="H329">
        <v>4010.41</v>
      </c>
      <c r="I329">
        <v>4010.41</v>
      </c>
      <c r="J329">
        <v>0</v>
      </c>
      <c r="K329">
        <v>4010.41</v>
      </c>
      <c r="L329">
        <v>0.1</v>
      </c>
      <c r="M329">
        <v>4456.0111111111109</v>
      </c>
      <c r="N329" s="178">
        <v>44845</v>
      </c>
      <c r="O329" t="s">
        <v>187</v>
      </c>
    </row>
    <row r="330" spans="1:15" x14ac:dyDescent="0.2">
      <c r="A330" t="s">
        <v>603</v>
      </c>
      <c r="B330" t="s">
        <v>19</v>
      </c>
      <c r="D330">
        <v>1</v>
      </c>
      <c r="E330" t="s">
        <v>23</v>
      </c>
      <c r="F330" t="s">
        <v>952</v>
      </c>
      <c r="G330" t="s">
        <v>953</v>
      </c>
      <c r="H330">
        <v>4665</v>
      </c>
      <c r="I330">
        <v>4665</v>
      </c>
      <c r="J330">
        <v>9.7500000000000003E-2</v>
      </c>
      <c r="K330">
        <v>5119.8374999999996</v>
      </c>
      <c r="L330">
        <v>0.1</v>
      </c>
      <c r="M330">
        <v>5688.708333333333</v>
      </c>
      <c r="N330" s="178">
        <v>44782</v>
      </c>
      <c r="O330" t="s">
        <v>606</v>
      </c>
    </row>
    <row r="331" spans="1:15" x14ac:dyDescent="0.2">
      <c r="A331" t="s">
        <v>603</v>
      </c>
      <c r="B331" t="s">
        <v>19</v>
      </c>
      <c r="D331">
        <v>1</v>
      </c>
      <c r="E331" t="s">
        <v>23</v>
      </c>
      <c r="F331" t="s">
        <v>954</v>
      </c>
      <c r="G331" t="s">
        <v>953</v>
      </c>
      <c r="H331">
        <v>2659</v>
      </c>
      <c r="I331">
        <v>2659</v>
      </c>
      <c r="J331">
        <v>9.7500000000000003E-2</v>
      </c>
      <c r="K331">
        <v>2918.2525000000001</v>
      </c>
      <c r="L331">
        <v>0.1</v>
      </c>
      <c r="M331">
        <v>3242.5027777777777</v>
      </c>
      <c r="N331" s="178">
        <v>44782</v>
      </c>
      <c r="O331" t="s">
        <v>606</v>
      </c>
    </row>
    <row r="332" spans="1:15" x14ac:dyDescent="0.2">
      <c r="A332" t="s">
        <v>548</v>
      </c>
      <c r="B332" t="s">
        <v>79</v>
      </c>
      <c r="D332">
        <v>1</v>
      </c>
      <c r="E332" t="s">
        <v>23</v>
      </c>
      <c r="F332" t="s">
        <v>551</v>
      </c>
      <c r="G332" t="s">
        <v>552</v>
      </c>
      <c r="H332">
        <v>3279</v>
      </c>
      <c r="I332">
        <v>3279</v>
      </c>
      <c r="J332">
        <v>0</v>
      </c>
      <c r="K332">
        <v>3279</v>
      </c>
      <c r="L332">
        <v>0.1</v>
      </c>
      <c r="M332">
        <v>3643.333333333333</v>
      </c>
      <c r="N332" s="178">
        <v>44723</v>
      </c>
      <c r="O332" t="s">
        <v>548</v>
      </c>
    </row>
    <row r="333" spans="1:15" x14ac:dyDescent="0.2">
      <c r="A333" t="s">
        <v>548</v>
      </c>
      <c r="B333" t="s">
        <v>79</v>
      </c>
      <c r="D333">
        <v>1</v>
      </c>
      <c r="E333" t="s">
        <v>23</v>
      </c>
      <c r="F333" t="s">
        <v>549</v>
      </c>
      <c r="G333" t="s">
        <v>550</v>
      </c>
      <c r="H333">
        <v>3827</v>
      </c>
      <c r="I333">
        <v>3827</v>
      </c>
      <c r="J333">
        <v>0</v>
      </c>
      <c r="K333">
        <v>3827</v>
      </c>
      <c r="L333">
        <v>0.1</v>
      </c>
      <c r="M333">
        <v>4252.2222222222217</v>
      </c>
      <c r="N333" s="178">
        <v>44723</v>
      </c>
      <c r="O333" t="s">
        <v>548</v>
      </c>
    </row>
    <row r="334" spans="1:15" x14ac:dyDescent="0.2">
      <c r="A334" t="s">
        <v>222</v>
      </c>
      <c r="B334" t="s">
        <v>49</v>
      </c>
      <c r="D334">
        <v>1</v>
      </c>
      <c r="E334" t="s">
        <v>23</v>
      </c>
      <c r="F334" t="s">
        <v>955</v>
      </c>
      <c r="G334" t="s">
        <v>956</v>
      </c>
      <c r="H334">
        <v>451.29</v>
      </c>
      <c r="I334">
        <v>451.29</v>
      </c>
      <c r="J334">
        <v>9.7500000000000003E-2</v>
      </c>
      <c r="K334">
        <v>495.29077500000005</v>
      </c>
      <c r="L334">
        <v>0.1</v>
      </c>
      <c r="M334">
        <v>550.32308333333333</v>
      </c>
      <c r="N334" s="178">
        <v>44755</v>
      </c>
      <c r="O334" t="s">
        <v>183</v>
      </c>
    </row>
    <row r="335" spans="1:15" x14ac:dyDescent="0.2">
      <c r="A335" t="s">
        <v>485</v>
      </c>
      <c r="B335" t="s">
        <v>49</v>
      </c>
      <c r="D335">
        <v>1</v>
      </c>
      <c r="E335" t="s">
        <v>23</v>
      </c>
      <c r="F335" t="s">
        <v>957</v>
      </c>
      <c r="G335" t="s">
        <v>958</v>
      </c>
      <c r="H335">
        <v>353.12</v>
      </c>
      <c r="I335">
        <v>353.12</v>
      </c>
      <c r="J335">
        <v>0</v>
      </c>
      <c r="K335">
        <v>353.12</v>
      </c>
      <c r="L335">
        <v>0.1</v>
      </c>
      <c r="M335">
        <v>392.35555555555555</v>
      </c>
      <c r="N335" s="178">
        <v>44762</v>
      </c>
      <c r="O335" t="s">
        <v>503</v>
      </c>
    </row>
    <row r="336" spans="1:15" x14ac:dyDescent="0.2">
      <c r="A336" t="s">
        <v>485</v>
      </c>
      <c r="B336" t="s">
        <v>49</v>
      </c>
      <c r="D336">
        <v>1</v>
      </c>
      <c r="E336" t="s">
        <v>23</v>
      </c>
      <c r="F336" t="s">
        <v>957</v>
      </c>
      <c r="G336" t="s">
        <v>958</v>
      </c>
      <c r="H336">
        <v>381.21</v>
      </c>
      <c r="I336">
        <v>381.21</v>
      </c>
      <c r="J336">
        <v>0</v>
      </c>
      <c r="K336">
        <v>381.21</v>
      </c>
      <c r="L336">
        <v>0.1</v>
      </c>
      <c r="M336">
        <v>423.56666666666661</v>
      </c>
      <c r="N336" s="178">
        <v>44776</v>
      </c>
      <c r="O336" t="s">
        <v>221</v>
      </c>
    </row>
    <row r="337" spans="1:15" x14ac:dyDescent="0.2">
      <c r="A337" t="s">
        <v>485</v>
      </c>
      <c r="B337" t="s">
        <v>19</v>
      </c>
      <c r="D337">
        <v>1</v>
      </c>
      <c r="E337" t="s">
        <v>23</v>
      </c>
      <c r="F337" t="s">
        <v>488</v>
      </c>
      <c r="G337" t="s">
        <v>489</v>
      </c>
      <c r="H337">
        <v>260.73</v>
      </c>
      <c r="I337">
        <v>260.73</v>
      </c>
      <c r="J337">
        <v>0</v>
      </c>
      <c r="K337">
        <v>260.73</v>
      </c>
      <c r="L337">
        <v>0.1</v>
      </c>
      <c r="M337">
        <v>289.7</v>
      </c>
      <c r="N337" s="178">
        <v>44699</v>
      </c>
      <c r="O337" t="s">
        <v>221</v>
      </c>
    </row>
    <row r="338" spans="1:15" x14ac:dyDescent="0.2">
      <c r="A338" t="s">
        <v>249</v>
      </c>
      <c r="B338" t="s">
        <v>44</v>
      </c>
      <c r="D338">
        <v>1</v>
      </c>
      <c r="E338" t="s">
        <v>23</v>
      </c>
      <c r="F338" t="s">
        <v>959</v>
      </c>
      <c r="G338" t="s">
        <v>960</v>
      </c>
      <c r="H338">
        <v>899.54</v>
      </c>
      <c r="I338">
        <v>899.54</v>
      </c>
      <c r="J338">
        <v>0</v>
      </c>
      <c r="K338">
        <v>899.54</v>
      </c>
      <c r="L338">
        <v>0.1</v>
      </c>
      <c r="M338">
        <v>999.48888888888882</v>
      </c>
      <c r="N338" s="178">
        <v>44730</v>
      </c>
      <c r="O338" t="s">
        <v>221</v>
      </c>
    </row>
    <row r="339" spans="1:15" x14ac:dyDescent="0.2">
      <c r="A339" t="s">
        <v>283</v>
      </c>
      <c r="B339" t="s">
        <v>19</v>
      </c>
      <c r="D339">
        <v>1</v>
      </c>
      <c r="E339" t="s">
        <v>23</v>
      </c>
      <c r="F339" t="s">
        <v>961</v>
      </c>
      <c r="G339" t="s">
        <v>962</v>
      </c>
      <c r="H339">
        <v>193.52</v>
      </c>
      <c r="I339">
        <v>193.52</v>
      </c>
      <c r="J339">
        <v>9.7500000000000003E-2</v>
      </c>
      <c r="K339">
        <v>212.38820000000001</v>
      </c>
      <c r="L339">
        <v>0.1</v>
      </c>
      <c r="M339">
        <v>235.9868888888889</v>
      </c>
      <c r="N339" s="178">
        <v>44818</v>
      </c>
      <c r="O339" t="s">
        <v>283</v>
      </c>
    </row>
    <row r="340" spans="1:15" x14ac:dyDescent="0.2">
      <c r="A340" t="s">
        <v>444</v>
      </c>
      <c r="B340" t="s">
        <v>48</v>
      </c>
      <c r="D340">
        <v>1</v>
      </c>
      <c r="E340" t="s">
        <v>612</v>
      </c>
      <c r="G340" t="s">
        <v>963</v>
      </c>
      <c r="H340">
        <v>17.28</v>
      </c>
      <c r="I340">
        <v>17.28</v>
      </c>
      <c r="J340">
        <v>0</v>
      </c>
      <c r="K340">
        <v>17.28</v>
      </c>
      <c r="L340">
        <v>0.1</v>
      </c>
      <c r="M340">
        <v>19.2</v>
      </c>
      <c r="N340" s="178">
        <v>44763</v>
      </c>
      <c r="O340" t="s">
        <v>221</v>
      </c>
    </row>
    <row r="341" spans="1:15" x14ac:dyDescent="0.2">
      <c r="A341" t="s">
        <v>444</v>
      </c>
      <c r="B341" t="s">
        <v>48</v>
      </c>
      <c r="D341">
        <v>1</v>
      </c>
      <c r="E341" t="s">
        <v>612</v>
      </c>
      <c r="G341" t="s">
        <v>964</v>
      </c>
      <c r="H341">
        <v>18.239999999999998</v>
      </c>
      <c r="I341">
        <v>18.239999999999998</v>
      </c>
      <c r="J341">
        <v>0</v>
      </c>
      <c r="K341">
        <v>18.239999999999998</v>
      </c>
      <c r="L341">
        <v>0.1</v>
      </c>
      <c r="M341">
        <v>20.266666666666666</v>
      </c>
      <c r="N341" s="178">
        <v>44763</v>
      </c>
      <c r="O341" t="s">
        <v>221</v>
      </c>
    </row>
    <row r="342" spans="1:15" x14ac:dyDescent="0.2">
      <c r="A342" t="s">
        <v>339</v>
      </c>
      <c r="B342" t="s">
        <v>5</v>
      </c>
      <c r="D342">
        <v>1</v>
      </c>
      <c r="E342" t="s">
        <v>23</v>
      </c>
      <c r="F342" t="s">
        <v>340</v>
      </c>
      <c r="G342" t="s">
        <v>341</v>
      </c>
      <c r="H342">
        <v>14.76</v>
      </c>
      <c r="I342">
        <v>14.76</v>
      </c>
      <c r="J342">
        <v>0.1</v>
      </c>
      <c r="K342">
        <v>16.236000000000001</v>
      </c>
      <c r="L342">
        <v>0.1</v>
      </c>
      <c r="M342">
        <v>18.04</v>
      </c>
      <c r="N342" s="178">
        <v>44671</v>
      </c>
      <c r="O342" t="s">
        <v>221</v>
      </c>
    </row>
    <row r="343" spans="1:15" x14ac:dyDescent="0.2">
      <c r="A343" t="s">
        <v>965</v>
      </c>
      <c r="B343" t="s">
        <v>5</v>
      </c>
      <c r="D343">
        <v>1</v>
      </c>
      <c r="E343" t="s">
        <v>23</v>
      </c>
      <c r="G343" t="s">
        <v>966</v>
      </c>
      <c r="H343">
        <v>13.02</v>
      </c>
      <c r="I343">
        <v>13.02</v>
      </c>
      <c r="J343">
        <v>0</v>
      </c>
      <c r="K343">
        <v>13.02</v>
      </c>
      <c r="L343">
        <v>0.1</v>
      </c>
      <c r="M343">
        <v>14.466666666666665</v>
      </c>
      <c r="N343" s="178">
        <v>44819</v>
      </c>
      <c r="O343" t="s">
        <v>965</v>
      </c>
    </row>
    <row r="344" spans="1:15" x14ac:dyDescent="0.2">
      <c r="A344" t="s">
        <v>405</v>
      </c>
      <c r="B344" t="s">
        <v>49</v>
      </c>
      <c r="D344">
        <v>1</v>
      </c>
      <c r="E344" t="s">
        <v>23</v>
      </c>
      <c r="F344" t="s">
        <v>967</v>
      </c>
      <c r="G344" t="s">
        <v>968</v>
      </c>
      <c r="H344">
        <v>1600</v>
      </c>
      <c r="I344">
        <v>1600</v>
      </c>
      <c r="J344">
        <v>0</v>
      </c>
      <c r="K344">
        <v>1600</v>
      </c>
      <c r="L344">
        <v>0.1</v>
      </c>
      <c r="M344">
        <v>1777.7777777777778</v>
      </c>
      <c r="N344" s="178">
        <v>44762</v>
      </c>
      <c r="O344" t="s">
        <v>503</v>
      </c>
    </row>
    <row r="345" spans="1:15" x14ac:dyDescent="0.2">
      <c r="A345" t="s">
        <v>342</v>
      </c>
      <c r="B345" t="s">
        <v>19</v>
      </c>
      <c r="D345">
        <v>1</v>
      </c>
      <c r="E345" t="s">
        <v>23</v>
      </c>
      <c r="F345" t="s">
        <v>475</v>
      </c>
      <c r="G345" t="s">
        <v>476</v>
      </c>
      <c r="H345">
        <v>422.96</v>
      </c>
      <c r="I345">
        <v>422.96</v>
      </c>
      <c r="J345">
        <v>0</v>
      </c>
      <c r="K345">
        <v>422.96</v>
      </c>
      <c r="L345">
        <v>0.1</v>
      </c>
      <c r="M345">
        <v>469.95555555555552</v>
      </c>
      <c r="N345" s="178">
        <v>44698</v>
      </c>
      <c r="O345" t="s">
        <v>345</v>
      </c>
    </row>
    <row r="346" spans="1:15" x14ac:dyDescent="0.2">
      <c r="A346" t="s">
        <v>359</v>
      </c>
      <c r="B346" t="s">
        <v>184</v>
      </c>
      <c r="D346">
        <v>1</v>
      </c>
      <c r="E346" t="s">
        <v>23</v>
      </c>
      <c r="F346" t="s">
        <v>374</v>
      </c>
      <c r="G346" t="s">
        <v>375</v>
      </c>
      <c r="H346">
        <v>3.29</v>
      </c>
      <c r="I346">
        <v>3.29</v>
      </c>
      <c r="J346">
        <v>0</v>
      </c>
      <c r="K346">
        <v>3.29</v>
      </c>
      <c r="L346">
        <v>0.1</v>
      </c>
      <c r="M346">
        <v>3.6555555555555554</v>
      </c>
      <c r="N346" s="178">
        <v>44671</v>
      </c>
      <c r="O346" t="s">
        <v>187</v>
      </c>
    </row>
    <row r="347" spans="1:15" x14ac:dyDescent="0.2">
      <c r="A347" t="s">
        <v>187</v>
      </c>
      <c r="B347" t="s">
        <v>45</v>
      </c>
      <c r="D347">
        <v>1</v>
      </c>
      <c r="E347" t="s">
        <v>23</v>
      </c>
      <c r="F347" t="s">
        <v>325</v>
      </c>
      <c r="G347" t="s">
        <v>326</v>
      </c>
      <c r="H347">
        <v>61.22</v>
      </c>
      <c r="I347">
        <v>61.22</v>
      </c>
      <c r="J347">
        <v>0</v>
      </c>
      <c r="K347">
        <v>61.22</v>
      </c>
      <c r="L347">
        <v>0.1</v>
      </c>
      <c r="M347">
        <v>68.022222222222226</v>
      </c>
      <c r="N347" s="178">
        <v>44624</v>
      </c>
      <c r="O347" t="s">
        <v>187</v>
      </c>
    </row>
    <row r="348" spans="1:15" x14ac:dyDescent="0.2">
      <c r="A348" t="s">
        <v>767</v>
      </c>
      <c r="B348" t="s">
        <v>5</v>
      </c>
      <c r="D348">
        <v>1</v>
      </c>
      <c r="E348" t="s">
        <v>23</v>
      </c>
      <c r="G348" t="s">
        <v>969</v>
      </c>
      <c r="H348">
        <v>12.5</v>
      </c>
      <c r="I348">
        <v>12.5</v>
      </c>
      <c r="J348">
        <v>0</v>
      </c>
      <c r="K348">
        <v>12.5</v>
      </c>
      <c r="L348">
        <v>0.1</v>
      </c>
      <c r="M348">
        <v>13.888888888888889</v>
      </c>
      <c r="N348" s="178">
        <v>44819</v>
      </c>
      <c r="O348" t="s">
        <v>767</v>
      </c>
    </row>
    <row r="349" spans="1:15" x14ac:dyDescent="0.2">
      <c r="A349" t="s">
        <v>767</v>
      </c>
      <c r="B349" t="s">
        <v>5</v>
      </c>
      <c r="D349">
        <v>1</v>
      </c>
      <c r="E349" t="s">
        <v>23</v>
      </c>
      <c r="G349" t="s">
        <v>970</v>
      </c>
      <c r="H349">
        <v>40</v>
      </c>
      <c r="I349">
        <v>40</v>
      </c>
      <c r="J349">
        <v>0</v>
      </c>
      <c r="K349">
        <v>40</v>
      </c>
      <c r="L349">
        <v>0.1</v>
      </c>
      <c r="M349">
        <v>44.444444444444443</v>
      </c>
      <c r="N349" s="178">
        <v>44819</v>
      </c>
      <c r="O349" t="s">
        <v>767</v>
      </c>
    </row>
    <row r="350" spans="1:15" x14ac:dyDescent="0.2">
      <c r="A350" t="s">
        <v>767</v>
      </c>
      <c r="B350" t="s">
        <v>5</v>
      </c>
      <c r="D350">
        <v>1</v>
      </c>
      <c r="E350" t="s">
        <v>23</v>
      </c>
      <c r="G350" t="s">
        <v>971</v>
      </c>
      <c r="H350">
        <v>120</v>
      </c>
      <c r="I350">
        <v>120</v>
      </c>
      <c r="J350">
        <v>0</v>
      </c>
      <c r="K350">
        <v>120</v>
      </c>
      <c r="L350">
        <v>0.1</v>
      </c>
      <c r="M350">
        <v>133.33333333333334</v>
      </c>
      <c r="N350" s="178">
        <v>44819</v>
      </c>
      <c r="O350" t="s">
        <v>767</v>
      </c>
    </row>
    <row r="351" spans="1:15" x14ac:dyDescent="0.2">
      <c r="A351" t="s">
        <v>972</v>
      </c>
      <c r="D351">
        <v>1</v>
      </c>
      <c r="E351" t="s">
        <v>23</v>
      </c>
      <c r="G351" t="s">
        <v>973</v>
      </c>
      <c r="H351">
        <v>3150</v>
      </c>
      <c r="I351">
        <v>3150</v>
      </c>
      <c r="J351">
        <v>0</v>
      </c>
      <c r="K351">
        <v>3150</v>
      </c>
      <c r="L351">
        <v>0.1</v>
      </c>
      <c r="M351">
        <v>3500</v>
      </c>
      <c r="N351" s="178">
        <v>44740</v>
      </c>
      <c r="O351" t="s">
        <v>972</v>
      </c>
    </row>
    <row r="352" spans="1:15" x14ac:dyDescent="0.2">
      <c r="A352" t="s">
        <v>524</v>
      </c>
      <c r="D352">
        <v>1</v>
      </c>
      <c r="E352" t="s">
        <v>23</v>
      </c>
      <c r="G352" t="s">
        <v>974</v>
      </c>
      <c r="H352">
        <v>2579</v>
      </c>
      <c r="I352">
        <v>2579</v>
      </c>
      <c r="J352">
        <v>0</v>
      </c>
      <c r="K352">
        <v>2579</v>
      </c>
      <c r="L352">
        <v>0.1</v>
      </c>
      <c r="M352">
        <v>2865.5555555555557</v>
      </c>
      <c r="N352" s="178">
        <v>44740</v>
      </c>
      <c r="O352" t="s">
        <v>526</v>
      </c>
    </row>
    <row r="353" spans="1:15" x14ac:dyDescent="0.2">
      <c r="A353" t="s">
        <v>975</v>
      </c>
      <c r="D353">
        <v>1</v>
      </c>
      <c r="E353" t="s">
        <v>23</v>
      </c>
      <c r="G353" t="s">
        <v>976</v>
      </c>
      <c r="H353">
        <v>2300</v>
      </c>
      <c r="I353">
        <v>2300</v>
      </c>
      <c r="J353">
        <v>0</v>
      </c>
      <c r="K353">
        <v>2300</v>
      </c>
      <c r="L353">
        <v>0.1</v>
      </c>
      <c r="M353">
        <v>2555.5555555555557</v>
      </c>
      <c r="N353" s="178">
        <v>44740</v>
      </c>
      <c r="O353" t="s">
        <v>975</v>
      </c>
    </row>
    <row r="354" spans="1:15" x14ac:dyDescent="0.2">
      <c r="A354" t="s">
        <v>524</v>
      </c>
      <c r="B354" t="s">
        <v>5</v>
      </c>
      <c r="D354">
        <v>1</v>
      </c>
      <c r="E354" t="s">
        <v>23</v>
      </c>
      <c r="G354" t="s">
        <v>525</v>
      </c>
      <c r="H354">
        <v>1509</v>
      </c>
      <c r="I354">
        <v>1509</v>
      </c>
      <c r="J354">
        <v>0</v>
      </c>
      <c r="K354">
        <v>1509</v>
      </c>
      <c r="L354">
        <v>0.1</v>
      </c>
      <c r="M354">
        <v>1676.6666666666665</v>
      </c>
      <c r="N354" s="178">
        <v>44713</v>
      </c>
      <c r="O354" t="s">
        <v>526</v>
      </c>
    </row>
    <row r="355" spans="1:15" x14ac:dyDescent="0.2">
      <c r="A355" t="s">
        <v>359</v>
      </c>
      <c r="B355" t="s">
        <v>184</v>
      </c>
      <c r="D355">
        <v>1</v>
      </c>
      <c r="E355" t="s">
        <v>23</v>
      </c>
      <c r="F355" t="s">
        <v>362</v>
      </c>
      <c r="G355" t="s">
        <v>363</v>
      </c>
      <c r="H355">
        <v>1.88</v>
      </c>
      <c r="I355">
        <v>1.88</v>
      </c>
      <c r="J355">
        <v>0</v>
      </c>
      <c r="K355">
        <v>1.88</v>
      </c>
      <c r="L355">
        <v>0.1</v>
      </c>
      <c r="M355">
        <v>2.0888888888888886</v>
      </c>
      <c r="N355" s="178">
        <v>43740</v>
      </c>
      <c r="O355" t="s">
        <v>187</v>
      </c>
    </row>
    <row r="356" spans="1:15" x14ac:dyDescent="0.2">
      <c r="A356" t="s">
        <v>444</v>
      </c>
      <c r="B356" t="s">
        <v>48</v>
      </c>
      <c r="D356">
        <v>1</v>
      </c>
      <c r="E356" t="s">
        <v>612</v>
      </c>
      <c r="G356" t="s">
        <v>977</v>
      </c>
      <c r="H356">
        <v>18.239999999999998</v>
      </c>
      <c r="I356">
        <v>18.239999999999998</v>
      </c>
      <c r="J356">
        <v>0</v>
      </c>
      <c r="K356">
        <v>18.239999999999998</v>
      </c>
      <c r="L356">
        <v>0.1</v>
      </c>
      <c r="M356">
        <v>20.266666666666666</v>
      </c>
      <c r="N356" s="178">
        <v>44763</v>
      </c>
      <c r="O356" t="s">
        <v>221</v>
      </c>
    </row>
    <row r="357" spans="1:15" x14ac:dyDescent="0.2">
      <c r="A357" t="s">
        <v>359</v>
      </c>
      <c r="B357" t="s">
        <v>48</v>
      </c>
      <c r="D357">
        <v>1</v>
      </c>
      <c r="E357" t="s">
        <v>23</v>
      </c>
      <c r="F357" t="s">
        <v>388</v>
      </c>
      <c r="G357" t="s">
        <v>389</v>
      </c>
      <c r="H357">
        <v>4.47</v>
      </c>
      <c r="I357">
        <v>4.47</v>
      </c>
      <c r="J357">
        <v>0</v>
      </c>
      <c r="K357">
        <v>4.47</v>
      </c>
      <c r="L357">
        <v>0.1</v>
      </c>
      <c r="M357">
        <v>4.9666666666666659</v>
      </c>
      <c r="N357" s="178">
        <v>44448</v>
      </c>
      <c r="O357" t="s">
        <v>187</v>
      </c>
    </row>
    <row r="358" spans="1:15" x14ac:dyDescent="0.2">
      <c r="A358" t="s">
        <v>359</v>
      </c>
      <c r="B358" t="s">
        <v>184</v>
      </c>
      <c r="D358">
        <v>1</v>
      </c>
      <c r="E358" t="s">
        <v>23</v>
      </c>
      <c r="F358" t="s">
        <v>360</v>
      </c>
      <c r="G358" t="s">
        <v>361</v>
      </c>
      <c r="H358">
        <v>1.1000000000000001</v>
      </c>
      <c r="I358">
        <v>1.1000000000000001</v>
      </c>
      <c r="J358">
        <v>0</v>
      </c>
      <c r="K358">
        <v>1.1000000000000001</v>
      </c>
      <c r="L358">
        <v>0.1</v>
      </c>
      <c r="M358">
        <v>1.2222222222222223</v>
      </c>
      <c r="N358" s="178">
        <v>43740</v>
      </c>
      <c r="O358" t="s">
        <v>187</v>
      </c>
    </row>
    <row r="359" spans="1:15" x14ac:dyDescent="0.2">
      <c r="A359" t="s">
        <v>359</v>
      </c>
      <c r="B359" t="s">
        <v>48</v>
      </c>
      <c r="D359">
        <v>1</v>
      </c>
      <c r="E359" t="s">
        <v>612</v>
      </c>
      <c r="F359" t="s">
        <v>386</v>
      </c>
      <c r="G359" t="s">
        <v>387</v>
      </c>
      <c r="H359">
        <v>19.25</v>
      </c>
      <c r="I359">
        <v>19.25</v>
      </c>
      <c r="J359">
        <v>0</v>
      </c>
      <c r="K359">
        <v>19.25</v>
      </c>
      <c r="L359">
        <v>0.1</v>
      </c>
      <c r="M359">
        <v>21.388888888888889</v>
      </c>
      <c r="N359" s="178">
        <v>44730</v>
      </c>
      <c r="O359" t="s">
        <v>187</v>
      </c>
    </row>
    <row r="360" spans="1:15" x14ac:dyDescent="0.2">
      <c r="A360" t="s">
        <v>359</v>
      </c>
      <c r="B360" t="s">
        <v>184</v>
      </c>
      <c r="D360">
        <v>1</v>
      </c>
      <c r="E360" t="s">
        <v>41</v>
      </c>
      <c r="F360" t="s">
        <v>192</v>
      </c>
      <c r="G360" t="s">
        <v>193</v>
      </c>
      <c r="H360">
        <v>19.25</v>
      </c>
      <c r="I360">
        <v>19.25</v>
      </c>
      <c r="J360">
        <v>0</v>
      </c>
      <c r="K360">
        <v>19.25</v>
      </c>
      <c r="L360">
        <v>0.1</v>
      </c>
      <c r="M360">
        <v>21.388888888888889</v>
      </c>
      <c r="N360" s="178">
        <v>44671</v>
      </c>
      <c r="O360" t="s">
        <v>187</v>
      </c>
    </row>
    <row r="361" spans="1:15" x14ac:dyDescent="0.2">
      <c r="A361" t="s">
        <v>359</v>
      </c>
      <c r="B361" t="s">
        <v>184</v>
      </c>
      <c r="D361">
        <v>1</v>
      </c>
      <c r="E361" t="s">
        <v>23</v>
      </c>
      <c r="F361" t="s">
        <v>376</v>
      </c>
      <c r="G361" t="s">
        <v>377</v>
      </c>
      <c r="H361">
        <v>4.5</v>
      </c>
      <c r="I361">
        <v>4.5</v>
      </c>
      <c r="J361">
        <v>0</v>
      </c>
      <c r="K361">
        <v>4.5</v>
      </c>
      <c r="L361">
        <v>0.1</v>
      </c>
      <c r="M361">
        <v>5</v>
      </c>
      <c r="N361" s="178">
        <v>44671</v>
      </c>
      <c r="O361" t="s">
        <v>187</v>
      </c>
    </row>
    <row r="362" spans="1:15" x14ac:dyDescent="0.2">
      <c r="A362" t="s">
        <v>359</v>
      </c>
      <c r="B362" t="s">
        <v>48</v>
      </c>
      <c r="D362">
        <v>1</v>
      </c>
      <c r="E362" t="s">
        <v>23</v>
      </c>
      <c r="F362" t="s">
        <v>390</v>
      </c>
      <c r="G362" t="s">
        <v>391</v>
      </c>
      <c r="H362">
        <v>4.05</v>
      </c>
      <c r="I362">
        <v>4.05</v>
      </c>
      <c r="J362">
        <v>0</v>
      </c>
      <c r="K362">
        <v>4.05</v>
      </c>
      <c r="L362">
        <v>0.1</v>
      </c>
      <c r="M362">
        <v>4.5</v>
      </c>
      <c r="N362" s="178">
        <v>44448</v>
      </c>
      <c r="O362" t="s">
        <v>187</v>
      </c>
    </row>
    <row r="363" spans="1:15" x14ac:dyDescent="0.2">
      <c r="A363" t="s">
        <v>359</v>
      </c>
      <c r="B363" t="s">
        <v>48</v>
      </c>
      <c r="D363">
        <v>1</v>
      </c>
      <c r="E363" t="s">
        <v>23</v>
      </c>
      <c r="F363" t="s">
        <v>392</v>
      </c>
      <c r="G363" t="s">
        <v>393</v>
      </c>
      <c r="H363">
        <v>4.2</v>
      </c>
      <c r="I363">
        <v>4.2</v>
      </c>
      <c r="J363">
        <v>0</v>
      </c>
      <c r="K363">
        <v>4.2</v>
      </c>
      <c r="L363">
        <v>0.1</v>
      </c>
      <c r="M363">
        <v>4.666666666666667</v>
      </c>
      <c r="N363" s="178">
        <v>44448</v>
      </c>
      <c r="O363" t="s">
        <v>187</v>
      </c>
    </row>
    <row r="364" spans="1:15" x14ac:dyDescent="0.2">
      <c r="A364" t="s">
        <v>318</v>
      </c>
      <c r="B364" t="s">
        <v>5</v>
      </c>
      <c r="D364">
        <v>1</v>
      </c>
      <c r="E364" t="s">
        <v>23</v>
      </c>
      <c r="F364" t="s">
        <v>319</v>
      </c>
      <c r="G364" t="s">
        <v>320</v>
      </c>
      <c r="H364">
        <v>4.13</v>
      </c>
      <c r="I364">
        <v>4.13</v>
      </c>
      <c r="J364">
        <v>0.1</v>
      </c>
      <c r="K364">
        <v>4.5430000000000001</v>
      </c>
      <c r="L364">
        <v>0.1</v>
      </c>
      <c r="M364">
        <v>5.0477777777777781</v>
      </c>
      <c r="N364" s="178">
        <v>44671</v>
      </c>
      <c r="O364" t="s">
        <v>221</v>
      </c>
    </row>
    <row r="365" spans="1:15" x14ac:dyDescent="0.2">
      <c r="A365" t="s">
        <v>444</v>
      </c>
      <c r="B365" t="s">
        <v>48</v>
      </c>
      <c r="D365">
        <v>1</v>
      </c>
      <c r="E365" t="s">
        <v>23</v>
      </c>
      <c r="G365" t="s">
        <v>978</v>
      </c>
      <c r="H365">
        <v>4.1399999999999997</v>
      </c>
      <c r="I365">
        <v>4.1399999999999997</v>
      </c>
      <c r="J365">
        <v>0</v>
      </c>
      <c r="K365">
        <v>4.1399999999999997</v>
      </c>
      <c r="L365">
        <v>0.1</v>
      </c>
      <c r="M365">
        <v>4.5999999999999996</v>
      </c>
      <c r="N365" s="178">
        <v>44763</v>
      </c>
      <c r="O365" t="s">
        <v>221</v>
      </c>
    </row>
    <row r="366" spans="1:15" x14ac:dyDescent="0.2">
      <c r="A366" t="s">
        <v>318</v>
      </c>
      <c r="B366" t="s">
        <v>5</v>
      </c>
      <c r="D366">
        <v>1</v>
      </c>
      <c r="E366" t="s">
        <v>23</v>
      </c>
      <c r="F366" t="s">
        <v>321</v>
      </c>
      <c r="G366" t="s">
        <v>322</v>
      </c>
      <c r="H366">
        <v>5.73</v>
      </c>
      <c r="I366">
        <v>5.73</v>
      </c>
      <c r="J366">
        <v>0.1</v>
      </c>
      <c r="K366">
        <v>6.3030000000000008</v>
      </c>
      <c r="L366">
        <v>0.1</v>
      </c>
      <c r="M366">
        <v>7.0033333333333339</v>
      </c>
      <c r="N366" s="178">
        <v>44671</v>
      </c>
      <c r="O366" t="s">
        <v>221</v>
      </c>
    </row>
    <row r="367" spans="1:15" x14ac:dyDescent="0.2">
      <c r="A367" t="s">
        <v>283</v>
      </c>
      <c r="B367" t="s">
        <v>5</v>
      </c>
      <c r="D367">
        <v>1</v>
      </c>
      <c r="E367" t="s">
        <v>23</v>
      </c>
      <c r="F367" t="s">
        <v>284</v>
      </c>
      <c r="G367" t="s">
        <v>285</v>
      </c>
      <c r="H367">
        <v>46.73</v>
      </c>
      <c r="I367">
        <v>46.73</v>
      </c>
      <c r="J367">
        <v>0</v>
      </c>
      <c r="K367">
        <v>46.73</v>
      </c>
      <c r="L367">
        <v>0.1</v>
      </c>
      <c r="M367">
        <v>51.922222222222217</v>
      </c>
      <c r="N367" s="178">
        <v>44671</v>
      </c>
      <c r="O367" t="s">
        <v>283</v>
      </c>
    </row>
    <row r="368" spans="1:15" x14ac:dyDescent="0.2">
      <c r="A368" t="s">
        <v>603</v>
      </c>
      <c r="B368" t="s">
        <v>6</v>
      </c>
      <c r="D368">
        <v>1</v>
      </c>
      <c r="E368" t="s">
        <v>23</v>
      </c>
      <c r="F368" t="s">
        <v>979</v>
      </c>
      <c r="G368" t="s">
        <v>980</v>
      </c>
      <c r="H368">
        <v>1449</v>
      </c>
      <c r="I368">
        <v>1449</v>
      </c>
      <c r="J368">
        <v>6.5000000000000002E-2</v>
      </c>
      <c r="K368">
        <v>1543.1849999999999</v>
      </c>
      <c r="L368">
        <v>0.1</v>
      </c>
      <c r="M368">
        <v>1714.6499999999999</v>
      </c>
      <c r="N368" s="178">
        <v>44782</v>
      </c>
      <c r="O368" t="s">
        <v>606</v>
      </c>
    </row>
    <row r="369" spans="1:15" x14ac:dyDescent="0.2">
      <c r="A369" t="s">
        <v>249</v>
      </c>
      <c r="B369" t="s">
        <v>44</v>
      </c>
      <c r="D369">
        <v>1</v>
      </c>
      <c r="E369" t="s">
        <v>23</v>
      </c>
      <c r="G369" t="s">
        <v>981</v>
      </c>
      <c r="H369">
        <v>820</v>
      </c>
      <c r="I369">
        <v>820</v>
      </c>
      <c r="J369">
        <v>0</v>
      </c>
      <c r="K369">
        <v>820</v>
      </c>
      <c r="L369">
        <v>0.1</v>
      </c>
      <c r="M369">
        <v>911.11111111111109</v>
      </c>
      <c r="N369" s="178">
        <v>44740</v>
      </c>
      <c r="O369" t="s">
        <v>221</v>
      </c>
    </row>
    <row r="370" spans="1:15" x14ac:dyDescent="0.2">
      <c r="A370" t="s">
        <v>249</v>
      </c>
      <c r="B370" t="s">
        <v>48</v>
      </c>
      <c r="D370">
        <v>1</v>
      </c>
      <c r="E370" t="s">
        <v>23</v>
      </c>
      <c r="F370" t="s">
        <v>250</v>
      </c>
      <c r="G370" t="s">
        <v>251</v>
      </c>
      <c r="H370">
        <v>300</v>
      </c>
      <c r="I370">
        <v>300</v>
      </c>
      <c r="J370">
        <v>0</v>
      </c>
      <c r="K370">
        <v>300</v>
      </c>
      <c r="L370">
        <v>0.1</v>
      </c>
      <c r="M370">
        <v>333.33333333333331</v>
      </c>
      <c r="N370" s="178">
        <v>44582</v>
      </c>
      <c r="O370" t="s">
        <v>252</v>
      </c>
    </row>
    <row r="371" spans="1:15" x14ac:dyDescent="0.2">
      <c r="A371" t="s">
        <v>405</v>
      </c>
      <c r="B371" t="s">
        <v>196</v>
      </c>
      <c r="D371">
        <v>1</v>
      </c>
      <c r="E371" t="s">
        <v>23</v>
      </c>
      <c r="F371" t="s">
        <v>982</v>
      </c>
      <c r="G371" t="s">
        <v>983</v>
      </c>
      <c r="H371">
        <v>1054.02</v>
      </c>
      <c r="I371">
        <v>1054.02</v>
      </c>
      <c r="J371">
        <v>0</v>
      </c>
      <c r="K371">
        <v>1054.02</v>
      </c>
      <c r="L371">
        <v>0.1</v>
      </c>
      <c r="M371">
        <v>1171.1333333333332</v>
      </c>
      <c r="N371" s="178">
        <v>44740</v>
      </c>
      <c r="O371" t="s">
        <v>221</v>
      </c>
    </row>
    <row r="372" spans="1:15" x14ac:dyDescent="0.2">
      <c r="A372" t="s">
        <v>485</v>
      </c>
      <c r="B372" t="s">
        <v>984</v>
      </c>
      <c r="D372">
        <v>1</v>
      </c>
      <c r="E372" t="s">
        <v>23</v>
      </c>
      <c r="F372" t="s">
        <v>985</v>
      </c>
      <c r="G372" t="s">
        <v>986</v>
      </c>
      <c r="H372">
        <v>76.58</v>
      </c>
      <c r="I372">
        <v>76.58</v>
      </c>
      <c r="J372">
        <v>0</v>
      </c>
      <c r="K372">
        <v>76.58</v>
      </c>
      <c r="L372">
        <v>0.1</v>
      </c>
      <c r="M372">
        <v>85.088888888888889</v>
      </c>
      <c r="N372" s="178">
        <v>44730</v>
      </c>
      <c r="O372" t="s">
        <v>221</v>
      </c>
    </row>
    <row r="373" spans="1:15" x14ac:dyDescent="0.2">
      <c r="A373" t="s">
        <v>485</v>
      </c>
      <c r="B373" t="s">
        <v>984</v>
      </c>
      <c r="D373">
        <v>1</v>
      </c>
      <c r="E373" t="s">
        <v>23</v>
      </c>
      <c r="F373" t="s">
        <v>987</v>
      </c>
      <c r="G373" t="s">
        <v>988</v>
      </c>
      <c r="H373">
        <v>76.58</v>
      </c>
      <c r="I373">
        <v>76.58</v>
      </c>
      <c r="J373">
        <v>0</v>
      </c>
      <c r="K373">
        <v>76.58</v>
      </c>
      <c r="L373">
        <v>0.1</v>
      </c>
      <c r="M373">
        <v>85.088888888888889</v>
      </c>
      <c r="N373" s="178">
        <v>44730</v>
      </c>
      <c r="O373" t="s">
        <v>221</v>
      </c>
    </row>
    <row r="374" spans="1:15" x14ac:dyDescent="0.2">
      <c r="A374" t="s">
        <v>428</v>
      </c>
      <c r="B374" t="s">
        <v>5</v>
      </c>
      <c r="D374">
        <v>1</v>
      </c>
      <c r="E374" t="s">
        <v>23</v>
      </c>
      <c r="F374" t="s">
        <v>429</v>
      </c>
      <c r="G374" t="s">
        <v>430</v>
      </c>
      <c r="H374">
        <v>1314.57</v>
      </c>
      <c r="I374">
        <v>1314.57</v>
      </c>
      <c r="J374">
        <v>0</v>
      </c>
      <c r="K374">
        <v>1314.57</v>
      </c>
      <c r="L374">
        <v>0.1</v>
      </c>
      <c r="M374">
        <v>1460.6333333333332</v>
      </c>
      <c r="N374" s="178">
        <v>44671</v>
      </c>
      <c r="O374" t="s">
        <v>431</v>
      </c>
    </row>
    <row r="375" spans="1:15" x14ac:dyDescent="0.2">
      <c r="A375" t="s">
        <v>485</v>
      </c>
      <c r="B375" t="s">
        <v>49</v>
      </c>
      <c r="D375">
        <v>1</v>
      </c>
      <c r="E375" t="s">
        <v>23</v>
      </c>
      <c r="F375" t="s">
        <v>989</v>
      </c>
      <c r="G375" t="s">
        <v>990</v>
      </c>
      <c r="H375">
        <v>4127.1899999999996</v>
      </c>
      <c r="I375">
        <v>4127.1899999999996</v>
      </c>
      <c r="J375">
        <v>0</v>
      </c>
      <c r="K375">
        <v>4127.1899999999996</v>
      </c>
      <c r="L375">
        <v>0.1</v>
      </c>
      <c r="M375">
        <v>4585.7666666666664</v>
      </c>
      <c r="N375" s="178">
        <v>44762</v>
      </c>
      <c r="O375" t="s">
        <v>503</v>
      </c>
    </row>
    <row r="376" spans="1:15" x14ac:dyDescent="0.2">
      <c r="A376" t="s">
        <v>588</v>
      </c>
      <c r="B376" t="s">
        <v>19</v>
      </c>
      <c r="D376">
        <v>1</v>
      </c>
      <c r="E376" t="s">
        <v>23</v>
      </c>
      <c r="F376" t="s">
        <v>991</v>
      </c>
      <c r="G376" t="s">
        <v>992</v>
      </c>
      <c r="H376">
        <v>5051.4799999999996</v>
      </c>
      <c r="I376">
        <v>5051.4799999999996</v>
      </c>
      <c r="J376">
        <v>0</v>
      </c>
      <c r="K376">
        <v>5051.4799999999996</v>
      </c>
      <c r="L376">
        <v>0.1</v>
      </c>
      <c r="M376">
        <v>5612.7555555555546</v>
      </c>
      <c r="N376" s="178">
        <v>44762</v>
      </c>
      <c r="O376" t="s">
        <v>588</v>
      </c>
    </row>
    <row r="377" spans="1:15" x14ac:dyDescent="0.2">
      <c r="A377" t="s">
        <v>485</v>
      </c>
      <c r="B377" t="s">
        <v>19</v>
      </c>
      <c r="D377">
        <v>1</v>
      </c>
      <c r="E377" t="s">
        <v>23</v>
      </c>
      <c r="F377" t="s">
        <v>993</v>
      </c>
      <c r="G377" t="s">
        <v>994</v>
      </c>
      <c r="H377">
        <v>43298.27</v>
      </c>
      <c r="I377">
        <v>43298.27</v>
      </c>
      <c r="J377">
        <v>0</v>
      </c>
      <c r="K377">
        <v>43298.27</v>
      </c>
      <c r="L377">
        <v>0.1</v>
      </c>
      <c r="M377">
        <v>48109.188888888886</v>
      </c>
      <c r="N377" s="178">
        <v>44455</v>
      </c>
      <c r="O377" t="s">
        <v>221</v>
      </c>
    </row>
    <row r="378" spans="1:15" x14ac:dyDescent="0.2">
      <c r="A378" t="s">
        <v>485</v>
      </c>
      <c r="B378" t="s">
        <v>650</v>
      </c>
      <c r="D378">
        <v>1</v>
      </c>
      <c r="E378" t="s">
        <v>23</v>
      </c>
      <c r="F378" t="s">
        <v>995</v>
      </c>
      <c r="G378" t="s">
        <v>996</v>
      </c>
      <c r="H378">
        <v>58378.93</v>
      </c>
      <c r="I378">
        <v>58378.93</v>
      </c>
      <c r="J378">
        <v>0</v>
      </c>
      <c r="K378">
        <v>58378.93</v>
      </c>
      <c r="L378">
        <v>0.1</v>
      </c>
      <c r="M378">
        <v>64865.477777777778</v>
      </c>
      <c r="N378" s="178">
        <v>44776</v>
      </c>
      <c r="O378" t="s">
        <v>221</v>
      </c>
    </row>
    <row r="379" spans="1:15" x14ac:dyDescent="0.2">
      <c r="A379" t="s">
        <v>485</v>
      </c>
      <c r="B379" t="s">
        <v>50</v>
      </c>
      <c r="D379">
        <v>1</v>
      </c>
      <c r="E379" t="s">
        <v>23</v>
      </c>
      <c r="F379" t="s">
        <v>997</v>
      </c>
      <c r="G379" t="s">
        <v>998</v>
      </c>
      <c r="H379">
        <v>5674.94</v>
      </c>
      <c r="I379">
        <v>5674.94</v>
      </c>
      <c r="J379">
        <v>0</v>
      </c>
      <c r="K379">
        <v>5674.94</v>
      </c>
      <c r="L379">
        <v>0.1</v>
      </c>
      <c r="M379">
        <v>6305.4888888888881</v>
      </c>
      <c r="N379" s="178">
        <v>44455</v>
      </c>
      <c r="O379" t="s">
        <v>221</v>
      </c>
    </row>
    <row r="380" spans="1:15" x14ac:dyDescent="0.2">
      <c r="A380" t="s">
        <v>485</v>
      </c>
      <c r="B380" t="s">
        <v>50</v>
      </c>
      <c r="D380">
        <v>1</v>
      </c>
      <c r="E380" t="s">
        <v>23</v>
      </c>
      <c r="F380" t="s">
        <v>999</v>
      </c>
      <c r="G380" t="s">
        <v>1000</v>
      </c>
      <c r="H380">
        <v>2899.14</v>
      </c>
      <c r="I380">
        <v>2899.14</v>
      </c>
      <c r="J380">
        <v>0</v>
      </c>
      <c r="K380">
        <v>2899.14</v>
      </c>
      <c r="L380">
        <v>0.1</v>
      </c>
      <c r="M380">
        <v>3221.2666666666664</v>
      </c>
      <c r="N380" s="178">
        <v>44455</v>
      </c>
      <c r="O380" t="s">
        <v>221</v>
      </c>
    </row>
    <row r="381" spans="1:15" x14ac:dyDescent="0.2">
      <c r="A381" t="s">
        <v>485</v>
      </c>
      <c r="B381" t="s">
        <v>50</v>
      </c>
      <c r="D381">
        <v>1</v>
      </c>
      <c r="E381" t="s">
        <v>23</v>
      </c>
      <c r="F381" t="s">
        <v>1001</v>
      </c>
      <c r="G381" t="s">
        <v>1002</v>
      </c>
      <c r="H381">
        <v>6873.02</v>
      </c>
      <c r="I381">
        <v>6873.02</v>
      </c>
      <c r="J381">
        <v>0</v>
      </c>
      <c r="K381">
        <v>6873.02</v>
      </c>
      <c r="L381">
        <v>0.1</v>
      </c>
      <c r="M381">
        <v>7636.6888888888889</v>
      </c>
      <c r="N381" s="178">
        <v>44455</v>
      </c>
      <c r="O381" t="s">
        <v>221</v>
      </c>
    </row>
    <row r="382" spans="1:15" x14ac:dyDescent="0.2">
      <c r="A382" t="s">
        <v>485</v>
      </c>
      <c r="B382" t="s">
        <v>50</v>
      </c>
      <c r="D382">
        <v>1</v>
      </c>
      <c r="E382" t="s">
        <v>23</v>
      </c>
      <c r="F382" t="s">
        <v>1003</v>
      </c>
      <c r="G382" t="s">
        <v>1004</v>
      </c>
      <c r="H382">
        <v>4209.91</v>
      </c>
      <c r="I382">
        <v>4209.91</v>
      </c>
      <c r="J382">
        <v>0</v>
      </c>
      <c r="K382">
        <v>4209.91</v>
      </c>
      <c r="L382">
        <v>0.1</v>
      </c>
      <c r="M382">
        <v>4677.6777777777779</v>
      </c>
      <c r="N382" s="178">
        <v>44455</v>
      </c>
      <c r="O382" t="s">
        <v>221</v>
      </c>
    </row>
    <row r="383" spans="1:15" x14ac:dyDescent="0.2">
      <c r="A383" t="s">
        <v>485</v>
      </c>
      <c r="B383" t="s">
        <v>650</v>
      </c>
      <c r="D383">
        <v>1</v>
      </c>
      <c r="E383" t="s">
        <v>23</v>
      </c>
      <c r="F383" t="s">
        <v>1005</v>
      </c>
      <c r="G383" t="s">
        <v>1006</v>
      </c>
      <c r="H383">
        <v>371.12</v>
      </c>
      <c r="I383">
        <v>371.12</v>
      </c>
      <c r="J383">
        <v>0</v>
      </c>
      <c r="K383">
        <v>371.12</v>
      </c>
      <c r="L383">
        <v>0.1</v>
      </c>
      <c r="M383">
        <v>412.35555555555555</v>
      </c>
      <c r="N383" s="178">
        <v>44776</v>
      </c>
      <c r="O383" t="s">
        <v>221</v>
      </c>
    </row>
    <row r="384" spans="1:15" x14ac:dyDescent="0.2">
      <c r="A384" t="s">
        <v>485</v>
      </c>
      <c r="B384" t="s">
        <v>19</v>
      </c>
      <c r="D384">
        <v>1</v>
      </c>
      <c r="E384" t="s">
        <v>23</v>
      </c>
      <c r="F384" t="s">
        <v>1007</v>
      </c>
      <c r="G384" t="s">
        <v>1008</v>
      </c>
      <c r="H384">
        <v>31297.919999999998</v>
      </c>
      <c r="I384">
        <v>31297.919999999998</v>
      </c>
      <c r="J384">
        <v>0</v>
      </c>
      <c r="K384">
        <v>31297.919999999998</v>
      </c>
      <c r="L384">
        <v>0.1</v>
      </c>
      <c r="M384">
        <v>34775.466666666667</v>
      </c>
      <c r="N384" s="178">
        <v>44455</v>
      </c>
      <c r="O384" t="s">
        <v>221</v>
      </c>
    </row>
    <row r="385" spans="1:15" x14ac:dyDescent="0.2">
      <c r="A385" t="s">
        <v>485</v>
      </c>
      <c r="B385" t="s">
        <v>19</v>
      </c>
      <c r="D385">
        <v>1</v>
      </c>
      <c r="E385" t="s">
        <v>23</v>
      </c>
      <c r="F385" t="s">
        <v>1009</v>
      </c>
      <c r="G385" t="s">
        <v>1010</v>
      </c>
      <c r="H385">
        <v>39469.089999999997</v>
      </c>
      <c r="I385">
        <v>39469.089999999997</v>
      </c>
      <c r="J385">
        <v>0</v>
      </c>
      <c r="K385">
        <v>39469.089999999997</v>
      </c>
      <c r="L385">
        <v>0.1</v>
      </c>
      <c r="M385">
        <v>43854.544444444437</v>
      </c>
      <c r="N385" s="178">
        <v>44455</v>
      </c>
      <c r="O385" t="s">
        <v>221</v>
      </c>
    </row>
    <row r="386" spans="1:15" x14ac:dyDescent="0.2">
      <c r="A386" t="s">
        <v>485</v>
      </c>
      <c r="B386" t="s">
        <v>19</v>
      </c>
      <c r="D386">
        <v>1</v>
      </c>
      <c r="E386" t="s">
        <v>23</v>
      </c>
      <c r="F386" t="s">
        <v>1011</v>
      </c>
      <c r="G386" t="s">
        <v>1012</v>
      </c>
      <c r="H386">
        <v>85985.63</v>
      </c>
      <c r="I386">
        <v>85985.63</v>
      </c>
      <c r="J386">
        <v>0</v>
      </c>
      <c r="K386">
        <v>85985.63</v>
      </c>
      <c r="L386">
        <v>0.1</v>
      </c>
      <c r="M386">
        <v>95539.588888888888</v>
      </c>
      <c r="N386" s="178">
        <v>44754</v>
      </c>
      <c r="O386" t="s">
        <v>221</v>
      </c>
    </row>
    <row r="387" spans="1:15" x14ac:dyDescent="0.2">
      <c r="A387" t="s">
        <v>485</v>
      </c>
      <c r="B387" t="s">
        <v>50</v>
      </c>
      <c r="D387">
        <v>1</v>
      </c>
      <c r="E387" t="s">
        <v>23</v>
      </c>
      <c r="F387" t="s">
        <v>1013</v>
      </c>
      <c r="G387" t="s">
        <v>1014</v>
      </c>
      <c r="H387">
        <v>6242.98</v>
      </c>
      <c r="I387">
        <v>6242.98</v>
      </c>
      <c r="J387">
        <v>0</v>
      </c>
      <c r="K387">
        <v>6242.98</v>
      </c>
      <c r="L387">
        <v>0.1</v>
      </c>
      <c r="M387">
        <v>6936.6444444444442</v>
      </c>
      <c r="N387" s="178">
        <v>44455</v>
      </c>
      <c r="O387" t="s">
        <v>221</v>
      </c>
    </row>
    <row r="388" spans="1:15" x14ac:dyDescent="0.2">
      <c r="A388" t="s">
        <v>485</v>
      </c>
      <c r="B388" t="s">
        <v>50</v>
      </c>
      <c r="D388">
        <v>1</v>
      </c>
      <c r="E388" t="s">
        <v>23</v>
      </c>
      <c r="F388" t="s">
        <v>1015</v>
      </c>
      <c r="G388" t="s">
        <v>1016</v>
      </c>
      <c r="H388">
        <v>14169.38</v>
      </c>
      <c r="I388">
        <v>14169.38</v>
      </c>
      <c r="J388">
        <v>0</v>
      </c>
      <c r="K388">
        <v>14169.38</v>
      </c>
      <c r="L388">
        <v>0.1</v>
      </c>
      <c r="M388">
        <v>15743.755555555554</v>
      </c>
      <c r="N388" s="178">
        <v>44455</v>
      </c>
      <c r="O388" t="s">
        <v>221</v>
      </c>
    </row>
    <row r="389" spans="1:15" x14ac:dyDescent="0.2">
      <c r="A389" t="s">
        <v>444</v>
      </c>
      <c r="B389" t="s">
        <v>48</v>
      </c>
      <c r="D389">
        <v>1</v>
      </c>
      <c r="E389" t="s">
        <v>23</v>
      </c>
      <c r="G389" t="s">
        <v>1017</v>
      </c>
      <c r="H389">
        <v>8.27</v>
      </c>
      <c r="I389">
        <v>8.27</v>
      </c>
      <c r="J389">
        <v>0</v>
      </c>
      <c r="K389">
        <v>8.27</v>
      </c>
      <c r="L389">
        <v>0.1</v>
      </c>
      <c r="M389">
        <v>9.1888888888888882</v>
      </c>
      <c r="N389" s="178">
        <v>44763</v>
      </c>
      <c r="O389" t="s">
        <v>221</v>
      </c>
    </row>
    <row r="390" spans="1:15" x14ac:dyDescent="0.2">
      <c r="A390" t="s">
        <v>456</v>
      </c>
      <c r="B390" t="s">
        <v>6</v>
      </c>
      <c r="D390">
        <v>1</v>
      </c>
      <c r="E390" t="s">
        <v>23</v>
      </c>
      <c r="F390" t="s">
        <v>522</v>
      </c>
      <c r="G390" t="s">
        <v>523</v>
      </c>
      <c r="H390">
        <v>4775.0200000000004</v>
      </c>
      <c r="I390">
        <v>4775.0200000000004</v>
      </c>
      <c r="J390">
        <v>0</v>
      </c>
      <c r="K390">
        <v>4775.0200000000004</v>
      </c>
      <c r="L390">
        <v>0.1</v>
      </c>
      <c r="M390">
        <v>5305.5777777777785</v>
      </c>
      <c r="N390" s="178">
        <v>44713</v>
      </c>
      <c r="O390" t="s">
        <v>456</v>
      </c>
    </row>
    <row r="391" spans="1:15" x14ac:dyDescent="0.2">
      <c r="A391" t="s">
        <v>603</v>
      </c>
      <c r="B391" t="s">
        <v>6</v>
      </c>
      <c r="D391">
        <v>1</v>
      </c>
      <c r="E391" t="s">
        <v>23</v>
      </c>
      <c r="F391" t="s">
        <v>1018</v>
      </c>
      <c r="G391" t="s">
        <v>1019</v>
      </c>
      <c r="H391">
        <v>1365</v>
      </c>
      <c r="I391">
        <v>1365</v>
      </c>
      <c r="J391">
        <v>6.5000000000000002E-2</v>
      </c>
      <c r="K391">
        <v>1453.7249999999999</v>
      </c>
      <c r="L391">
        <v>0.1</v>
      </c>
      <c r="M391">
        <v>1615.2499999999998</v>
      </c>
      <c r="N391" s="178">
        <v>44782</v>
      </c>
      <c r="O391" t="s">
        <v>606</v>
      </c>
    </row>
    <row r="392" spans="1:15" x14ac:dyDescent="0.2">
      <c r="A392" t="s">
        <v>456</v>
      </c>
      <c r="B392" t="s">
        <v>6</v>
      </c>
      <c r="D392">
        <v>1</v>
      </c>
      <c r="E392" t="s">
        <v>23</v>
      </c>
      <c r="F392" t="s">
        <v>518</v>
      </c>
      <c r="G392" t="s">
        <v>519</v>
      </c>
      <c r="H392">
        <v>2800.73</v>
      </c>
      <c r="I392">
        <v>2800.73</v>
      </c>
      <c r="J392">
        <v>0</v>
      </c>
      <c r="K392">
        <v>2800.73</v>
      </c>
      <c r="L392">
        <v>0.1</v>
      </c>
      <c r="M392">
        <v>3111.922222222222</v>
      </c>
      <c r="N392" s="178">
        <v>44822</v>
      </c>
      <c r="O392" t="s">
        <v>456</v>
      </c>
    </row>
    <row r="393" spans="1:15" x14ac:dyDescent="0.2">
      <c r="A393" t="s">
        <v>456</v>
      </c>
      <c r="B393" t="s">
        <v>6</v>
      </c>
      <c r="D393">
        <v>1</v>
      </c>
      <c r="E393" t="s">
        <v>23</v>
      </c>
      <c r="F393" t="s">
        <v>520</v>
      </c>
      <c r="G393" t="s">
        <v>521</v>
      </c>
      <c r="H393">
        <v>1675.85</v>
      </c>
      <c r="I393">
        <v>1675.85</v>
      </c>
      <c r="J393">
        <v>0</v>
      </c>
      <c r="K393">
        <v>1675.85</v>
      </c>
      <c r="L393">
        <v>0.1</v>
      </c>
      <c r="M393">
        <v>1862.0555555555554</v>
      </c>
      <c r="N393" s="178">
        <v>44822</v>
      </c>
      <c r="O393" t="s">
        <v>456</v>
      </c>
    </row>
    <row r="394" spans="1:15" x14ac:dyDescent="0.2">
      <c r="A394" t="s">
        <v>244</v>
      </c>
      <c r="B394" t="s">
        <v>6</v>
      </c>
      <c r="D394">
        <v>1</v>
      </c>
      <c r="E394" t="s">
        <v>23</v>
      </c>
      <c r="F394" t="s">
        <v>247</v>
      </c>
      <c r="G394" t="s">
        <v>248</v>
      </c>
      <c r="H394">
        <v>1663.4</v>
      </c>
      <c r="I394">
        <v>1663.4</v>
      </c>
      <c r="J394">
        <v>0.15</v>
      </c>
      <c r="K394">
        <v>1912.91</v>
      </c>
      <c r="L394">
        <v>0.1</v>
      </c>
      <c r="M394">
        <v>2125.4555555555557</v>
      </c>
      <c r="N394" s="178">
        <v>44614</v>
      </c>
      <c r="O394" t="s">
        <v>244</v>
      </c>
    </row>
    <row r="395" spans="1:15" x14ac:dyDescent="0.2">
      <c r="A395" t="s">
        <v>485</v>
      </c>
      <c r="B395" t="s">
        <v>591</v>
      </c>
      <c r="D395">
        <v>1</v>
      </c>
      <c r="E395" t="s">
        <v>23</v>
      </c>
      <c r="F395" t="s">
        <v>1020</v>
      </c>
      <c r="G395" t="s">
        <v>1021</v>
      </c>
      <c r="H395">
        <v>27.09</v>
      </c>
      <c r="I395">
        <v>27.09</v>
      </c>
      <c r="J395">
        <v>0</v>
      </c>
      <c r="K395">
        <v>27.09</v>
      </c>
      <c r="L395">
        <v>0.1</v>
      </c>
      <c r="M395">
        <v>30.099999999999998</v>
      </c>
      <c r="N395" s="178">
        <v>44730</v>
      </c>
      <c r="O395" t="s">
        <v>221</v>
      </c>
    </row>
    <row r="396" spans="1:15" x14ac:dyDescent="0.2">
      <c r="A396" t="s">
        <v>485</v>
      </c>
      <c r="B396" t="s">
        <v>591</v>
      </c>
      <c r="D396">
        <v>1</v>
      </c>
      <c r="E396" t="s">
        <v>23</v>
      </c>
      <c r="F396" t="s">
        <v>1022</v>
      </c>
      <c r="G396" t="s">
        <v>1023</v>
      </c>
      <c r="H396">
        <v>21.09</v>
      </c>
      <c r="I396">
        <v>21.09</v>
      </c>
      <c r="J396">
        <v>0</v>
      </c>
      <c r="K396">
        <v>21.09</v>
      </c>
      <c r="L396">
        <v>0.1</v>
      </c>
      <c r="M396">
        <v>23.433333333333334</v>
      </c>
      <c r="N396" s="178">
        <v>44730</v>
      </c>
      <c r="O396" t="s">
        <v>221</v>
      </c>
    </row>
    <row r="397" spans="1:15" x14ac:dyDescent="0.2">
      <c r="A397" t="s">
        <v>485</v>
      </c>
      <c r="B397" t="s">
        <v>591</v>
      </c>
      <c r="D397">
        <v>1</v>
      </c>
      <c r="E397" t="s">
        <v>23</v>
      </c>
      <c r="F397" t="s">
        <v>1024</v>
      </c>
      <c r="G397" t="s">
        <v>1025</v>
      </c>
      <c r="H397">
        <v>30.45</v>
      </c>
      <c r="I397">
        <v>30.45</v>
      </c>
      <c r="J397">
        <v>0</v>
      </c>
      <c r="K397">
        <v>30.45</v>
      </c>
      <c r="L397">
        <v>0.1</v>
      </c>
      <c r="M397">
        <v>33.833333333333329</v>
      </c>
      <c r="N397" s="178">
        <v>44730</v>
      </c>
      <c r="O397" t="s">
        <v>221</v>
      </c>
    </row>
    <row r="398" spans="1:15" x14ac:dyDescent="0.2">
      <c r="A398" t="s">
        <v>485</v>
      </c>
      <c r="B398" t="s">
        <v>591</v>
      </c>
      <c r="D398">
        <v>1</v>
      </c>
      <c r="E398" t="s">
        <v>23</v>
      </c>
      <c r="F398" t="s">
        <v>1026</v>
      </c>
      <c r="G398" t="s">
        <v>1027</v>
      </c>
      <c r="H398">
        <v>19.07</v>
      </c>
      <c r="I398">
        <v>19.07</v>
      </c>
      <c r="J398">
        <v>0</v>
      </c>
      <c r="K398">
        <v>19.07</v>
      </c>
      <c r="L398">
        <v>0.1</v>
      </c>
      <c r="M398">
        <v>21.18888888888889</v>
      </c>
      <c r="N398" s="178">
        <v>44730</v>
      </c>
      <c r="O398" t="s">
        <v>221</v>
      </c>
    </row>
    <row r="399" spans="1:15" x14ac:dyDescent="0.2">
      <c r="A399" t="s">
        <v>588</v>
      </c>
      <c r="B399" t="s">
        <v>19</v>
      </c>
      <c r="D399">
        <v>1</v>
      </c>
      <c r="E399" t="s">
        <v>23</v>
      </c>
      <c r="F399" t="s">
        <v>1028</v>
      </c>
      <c r="G399" t="s">
        <v>1029</v>
      </c>
      <c r="H399">
        <v>1685.75</v>
      </c>
      <c r="I399">
        <v>1685.75</v>
      </c>
      <c r="J399">
        <v>0</v>
      </c>
      <c r="K399">
        <v>1685.75</v>
      </c>
      <c r="L399">
        <v>0.1</v>
      </c>
      <c r="M399">
        <v>1873.0555555555554</v>
      </c>
      <c r="N399" s="178">
        <v>44762</v>
      </c>
      <c r="O399" t="s">
        <v>588</v>
      </c>
    </row>
    <row r="400" spans="1:15" x14ac:dyDescent="0.2">
      <c r="A400" t="s">
        <v>359</v>
      </c>
      <c r="B400" t="s">
        <v>184</v>
      </c>
      <c r="D400">
        <v>1</v>
      </c>
      <c r="E400" t="s">
        <v>23</v>
      </c>
      <c r="F400" t="s">
        <v>1030</v>
      </c>
      <c r="G400" t="s">
        <v>1031</v>
      </c>
      <c r="H400">
        <v>6.62</v>
      </c>
      <c r="I400">
        <v>6.62</v>
      </c>
      <c r="J400">
        <v>0</v>
      </c>
      <c r="K400">
        <v>6.62</v>
      </c>
      <c r="L400">
        <v>0.1</v>
      </c>
      <c r="M400">
        <v>7.3555555555555552</v>
      </c>
      <c r="N400" s="178">
        <v>44723</v>
      </c>
      <c r="O400" t="s">
        <v>187</v>
      </c>
    </row>
    <row r="401" spans="1:15" x14ac:dyDescent="0.2">
      <c r="A401" t="s">
        <v>456</v>
      </c>
      <c r="B401" t="s">
        <v>6</v>
      </c>
      <c r="D401">
        <v>1</v>
      </c>
      <c r="E401" t="s">
        <v>23</v>
      </c>
      <c r="F401" t="s">
        <v>1032</v>
      </c>
      <c r="G401" t="s">
        <v>1033</v>
      </c>
      <c r="H401">
        <v>57.39</v>
      </c>
      <c r="I401">
        <v>57.39</v>
      </c>
      <c r="J401">
        <v>0</v>
      </c>
      <c r="K401">
        <v>57.39</v>
      </c>
      <c r="L401">
        <v>0.1</v>
      </c>
      <c r="M401">
        <v>63.766666666666666</v>
      </c>
      <c r="N401" s="178">
        <v>44724</v>
      </c>
      <c r="O401" t="s">
        <v>456</v>
      </c>
    </row>
    <row r="402" spans="1:15" x14ac:dyDescent="0.2">
      <c r="A402" t="s">
        <v>456</v>
      </c>
      <c r="B402" t="s">
        <v>5</v>
      </c>
      <c r="D402">
        <v>1</v>
      </c>
      <c r="E402" t="s">
        <v>23</v>
      </c>
      <c r="F402" t="s">
        <v>1034</v>
      </c>
      <c r="G402" t="s">
        <v>1035</v>
      </c>
      <c r="H402">
        <v>137.74</v>
      </c>
      <c r="I402">
        <v>137.74</v>
      </c>
      <c r="J402">
        <v>0</v>
      </c>
      <c r="K402">
        <v>137.74</v>
      </c>
      <c r="L402">
        <v>0.1</v>
      </c>
      <c r="M402">
        <v>153.04444444444445</v>
      </c>
      <c r="N402" s="178">
        <v>44822</v>
      </c>
      <c r="O402" t="s">
        <v>456</v>
      </c>
    </row>
    <row r="403" spans="1:15" x14ac:dyDescent="0.2">
      <c r="A403" t="s">
        <v>456</v>
      </c>
      <c r="B403" t="s">
        <v>6</v>
      </c>
      <c r="D403">
        <v>1</v>
      </c>
      <c r="E403" t="s">
        <v>23</v>
      </c>
      <c r="F403" t="s">
        <v>1036</v>
      </c>
      <c r="G403" t="s">
        <v>1037</v>
      </c>
      <c r="H403">
        <v>73.459999999999994</v>
      </c>
      <c r="I403">
        <v>73.459999999999994</v>
      </c>
      <c r="J403">
        <v>0</v>
      </c>
      <c r="K403">
        <v>73.459999999999994</v>
      </c>
      <c r="L403">
        <v>0.1</v>
      </c>
      <c r="M403">
        <v>81.62222222222222</v>
      </c>
      <c r="N403" s="178">
        <v>44724</v>
      </c>
      <c r="O403" t="s">
        <v>456</v>
      </c>
    </row>
    <row r="404" spans="1:15" x14ac:dyDescent="0.2">
      <c r="A404" t="s">
        <v>400</v>
      </c>
      <c r="B404" t="s">
        <v>18</v>
      </c>
      <c r="D404">
        <v>1</v>
      </c>
      <c r="E404" t="s">
        <v>23</v>
      </c>
      <c r="F404" t="s">
        <v>403</v>
      </c>
      <c r="G404" t="s">
        <v>404</v>
      </c>
      <c r="H404">
        <v>18.239999999999998</v>
      </c>
      <c r="I404">
        <v>18.239999999999998</v>
      </c>
      <c r="J404">
        <v>0.15</v>
      </c>
      <c r="K404">
        <v>20.975999999999999</v>
      </c>
      <c r="L404">
        <v>0.1</v>
      </c>
      <c r="M404">
        <v>23.306666666666665</v>
      </c>
      <c r="N404" s="178">
        <v>44602</v>
      </c>
      <c r="O404" t="s">
        <v>221</v>
      </c>
    </row>
    <row r="405" spans="1:15" x14ac:dyDescent="0.2">
      <c r="A405" t="s">
        <v>187</v>
      </c>
      <c r="B405" t="s">
        <v>97</v>
      </c>
      <c r="D405">
        <v>1</v>
      </c>
      <c r="E405" t="s">
        <v>23</v>
      </c>
      <c r="F405" t="s">
        <v>331</v>
      </c>
      <c r="G405" t="s">
        <v>332</v>
      </c>
      <c r="H405">
        <v>9.08</v>
      </c>
      <c r="I405">
        <v>9.08</v>
      </c>
      <c r="J405">
        <v>0</v>
      </c>
      <c r="K405">
        <v>9.08</v>
      </c>
      <c r="L405">
        <v>0.1</v>
      </c>
      <c r="M405">
        <v>10.088888888888889</v>
      </c>
      <c r="N405" s="178">
        <v>44624</v>
      </c>
      <c r="O405" t="s">
        <v>187</v>
      </c>
    </row>
    <row r="406" spans="1:15" x14ac:dyDescent="0.2">
      <c r="A406" t="s">
        <v>603</v>
      </c>
      <c r="B406" t="s">
        <v>6</v>
      </c>
      <c r="D406">
        <v>1</v>
      </c>
      <c r="E406" t="s">
        <v>23</v>
      </c>
      <c r="F406" t="s">
        <v>1038</v>
      </c>
      <c r="G406" t="s">
        <v>1039</v>
      </c>
      <c r="H406">
        <v>1272</v>
      </c>
      <c r="I406">
        <v>1272</v>
      </c>
      <c r="J406">
        <v>6.5000000000000002E-2</v>
      </c>
      <c r="K406">
        <v>1354.68</v>
      </c>
      <c r="L406">
        <v>0.1</v>
      </c>
      <c r="M406">
        <v>1505.2</v>
      </c>
      <c r="N406" s="178">
        <v>44782</v>
      </c>
      <c r="O406" t="s">
        <v>606</v>
      </c>
    </row>
    <row r="407" spans="1:15" x14ac:dyDescent="0.2">
      <c r="A407" t="s">
        <v>359</v>
      </c>
      <c r="B407" t="s">
        <v>184</v>
      </c>
      <c r="D407">
        <v>1</v>
      </c>
      <c r="E407" t="s">
        <v>23</v>
      </c>
      <c r="F407" t="s">
        <v>370</v>
      </c>
      <c r="G407" t="s">
        <v>371</v>
      </c>
      <c r="H407">
        <v>1020.56</v>
      </c>
      <c r="I407">
        <v>1020.56</v>
      </c>
      <c r="J407">
        <v>0</v>
      </c>
      <c r="K407">
        <v>1020.56</v>
      </c>
      <c r="L407">
        <v>0.1</v>
      </c>
      <c r="M407">
        <v>1133.9555555555555</v>
      </c>
      <c r="N407" s="178">
        <v>44671</v>
      </c>
      <c r="O407" t="s">
        <v>187</v>
      </c>
    </row>
    <row r="408" spans="1:15" x14ac:dyDescent="0.2">
      <c r="A408" t="s">
        <v>585</v>
      </c>
      <c r="B408" t="s">
        <v>180</v>
      </c>
      <c r="D408">
        <v>1</v>
      </c>
      <c r="E408" t="s">
        <v>23</v>
      </c>
      <c r="F408" t="s">
        <v>181</v>
      </c>
      <c r="G408" t="s">
        <v>182</v>
      </c>
      <c r="H408">
        <v>786.08</v>
      </c>
      <c r="I408">
        <v>786.08</v>
      </c>
      <c r="J408">
        <v>0.15</v>
      </c>
      <c r="K408">
        <v>903.99200000000008</v>
      </c>
      <c r="L408">
        <v>0.1</v>
      </c>
      <c r="M408">
        <v>1004.4355555555557</v>
      </c>
      <c r="N408" s="178">
        <v>44440</v>
      </c>
      <c r="O408" t="s">
        <v>183</v>
      </c>
    </row>
    <row r="409" spans="1:15" x14ac:dyDescent="0.2">
      <c r="A409" t="s">
        <v>405</v>
      </c>
      <c r="B409" t="s">
        <v>5</v>
      </c>
      <c r="D409">
        <v>1</v>
      </c>
      <c r="E409" t="s">
        <v>23</v>
      </c>
      <c r="F409" t="s">
        <v>413</v>
      </c>
      <c r="G409" t="s">
        <v>414</v>
      </c>
      <c r="H409">
        <v>18417.78</v>
      </c>
      <c r="I409">
        <v>18417.78</v>
      </c>
      <c r="J409">
        <v>0</v>
      </c>
      <c r="K409">
        <v>18417.78</v>
      </c>
      <c r="L409">
        <v>0.1</v>
      </c>
      <c r="M409">
        <v>20464.199999999997</v>
      </c>
      <c r="N409" s="178">
        <v>44671</v>
      </c>
      <c r="O409" t="s">
        <v>408</v>
      </c>
    </row>
    <row r="410" spans="1:15" x14ac:dyDescent="0.2">
      <c r="A410" t="s">
        <v>444</v>
      </c>
      <c r="B410" t="s">
        <v>48</v>
      </c>
      <c r="D410">
        <v>1</v>
      </c>
      <c r="E410" t="s">
        <v>23</v>
      </c>
      <c r="G410" t="s">
        <v>1040</v>
      </c>
      <c r="H410">
        <v>35.700000000000003</v>
      </c>
      <c r="I410">
        <v>35.700000000000003</v>
      </c>
      <c r="J410">
        <v>0</v>
      </c>
      <c r="K410">
        <v>35.700000000000003</v>
      </c>
      <c r="L410">
        <v>0.1</v>
      </c>
      <c r="M410">
        <v>39.666666666666671</v>
      </c>
      <c r="N410" s="178">
        <v>44763</v>
      </c>
      <c r="O410" t="s">
        <v>221</v>
      </c>
    </row>
    <row r="411" spans="1:15" x14ac:dyDescent="0.2">
      <c r="A411" t="s">
        <v>359</v>
      </c>
      <c r="B411" t="s">
        <v>184</v>
      </c>
      <c r="D411">
        <v>1</v>
      </c>
      <c r="E411" t="s">
        <v>23</v>
      </c>
      <c r="F411" t="s">
        <v>378</v>
      </c>
      <c r="G411" t="s">
        <v>379</v>
      </c>
      <c r="H411">
        <v>2.2599999999999998</v>
      </c>
      <c r="I411">
        <v>2.2599999999999998</v>
      </c>
      <c r="J411">
        <v>0</v>
      </c>
      <c r="K411">
        <v>2.2599999999999998</v>
      </c>
      <c r="L411">
        <v>0.1</v>
      </c>
      <c r="M411">
        <v>2.5111111111111106</v>
      </c>
      <c r="N411" s="178">
        <v>44671</v>
      </c>
      <c r="O411" t="s">
        <v>187</v>
      </c>
    </row>
    <row r="412" spans="1:15" x14ac:dyDescent="0.2">
      <c r="A412" t="s">
        <v>359</v>
      </c>
      <c r="B412" t="s">
        <v>48</v>
      </c>
      <c r="D412">
        <v>1</v>
      </c>
      <c r="E412" t="s">
        <v>23</v>
      </c>
      <c r="F412" t="s">
        <v>394</v>
      </c>
      <c r="G412" t="s">
        <v>395</v>
      </c>
      <c r="H412">
        <v>2.64</v>
      </c>
      <c r="I412">
        <v>2.64</v>
      </c>
      <c r="J412">
        <v>0</v>
      </c>
      <c r="K412">
        <v>2.64</v>
      </c>
      <c r="L412">
        <v>0.1</v>
      </c>
      <c r="M412">
        <v>2.9333333333333336</v>
      </c>
      <c r="N412" s="178">
        <v>44448</v>
      </c>
      <c r="O412" t="s">
        <v>187</v>
      </c>
    </row>
    <row r="413" spans="1:15" x14ac:dyDescent="0.2">
      <c r="A413" t="s">
        <v>359</v>
      </c>
      <c r="B413" t="s">
        <v>184</v>
      </c>
      <c r="D413">
        <v>1</v>
      </c>
      <c r="E413" t="s">
        <v>23</v>
      </c>
      <c r="F413" t="s">
        <v>1041</v>
      </c>
      <c r="G413" t="s">
        <v>1042</v>
      </c>
      <c r="H413">
        <v>2.38</v>
      </c>
      <c r="I413">
        <v>2.38</v>
      </c>
      <c r="J413">
        <v>0</v>
      </c>
      <c r="K413">
        <v>2.38</v>
      </c>
      <c r="L413">
        <v>0.1</v>
      </c>
      <c r="M413">
        <v>2.6444444444444444</v>
      </c>
      <c r="N413" s="178">
        <v>44723</v>
      </c>
      <c r="O413" t="s">
        <v>187</v>
      </c>
    </row>
    <row r="414" spans="1:15" x14ac:dyDescent="0.2">
      <c r="A414" t="s">
        <v>485</v>
      </c>
      <c r="B414" t="s">
        <v>591</v>
      </c>
      <c r="D414">
        <v>1</v>
      </c>
      <c r="E414" t="s">
        <v>23</v>
      </c>
      <c r="F414" t="s">
        <v>1043</v>
      </c>
      <c r="G414" t="s">
        <v>1044</v>
      </c>
      <c r="H414">
        <v>5.95</v>
      </c>
      <c r="I414">
        <v>5.95</v>
      </c>
      <c r="J414">
        <v>0</v>
      </c>
      <c r="K414">
        <v>5.95</v>
      </c>
      <c r="L414">
        <v>0.1</v>
      </c>
      <c r="M414">
        <v>6.6111111111111107</v>
      </c>
      <c r="N414" s="178">
        <v>44730</v>
      </c>
      <c r="O414" t="s">
        <v>221</v>
      </c>
    </row>
    <row r="415" spans="1:15" x14ac:dyDescent="0.2">
      <c r="A415" t="s">
        <v>609</v>
      </c>
      <c r="B415" t="s">
        <v>96</v>
      </c>
      <c r="D415">
        <v>1</v>
      </c>
      <c r="E415" t="s">
        <v>23</v>
      </c>
      <c r="F415" t="s">
        <v>1045</v>
      </c>
      <c r="G415" t="s">
        <v>1046</v>
      </c>
      <c r="H415">
        <v>0.39</v>
      </c>
      <c r="I415">
        <v>0.39</v>
      </c>
      <c r="J415">
        <v>0</v>
      </c>
      <c r="K415">
        <v>0.39</v>
      </c>
      <c r="L415">
        <v>0.1</v>
      </c>
      <c r="M415">
        <v>0.43333333333333335</v>
      </c>
      <c r="N415" s="178">
        <v>44724</v>
      </c>
      <c r="O415" t="s">
        <v>221</v>
      </c>
    </row>
    <row r="416" spans="1:15" x14ac:dyDescent="0.2">
      <c r="A416" t="s">
        <v>444</v>
      </c>
      <c r="B416" t="s">
        <v>48</v>
      </c>
      <c r="D416">
        <v>1</v>
      </c>
      <c r="E416" t="s">
        <v>23</v>
      </c>
      <c r="G416" t="s">
        <v>1047</v>
      </c>
      <c r="H416">
        <v>13.88</v>
      </c>
      <c r="I416">
        <v>13.88</v>
      </c>
      <c r="J416">
        <v>0</v>
      </c>
      <c r="K416">
        <v>13.88</v>
      </c>
      <c r="L416">
        <v>0.1</v>
      </c>
      <c r="M416">
        <v>15.422222222222222</v>
      </c>
      <c r="N416" s="178">
        <v>44763</v>
      </c>
      <c r="O416" t="s">
        <v>221</v>
      </c>
    </row>
    <row r="417" spans="1:15" x14ac:dyDescent="0.2">
      <c r="A417" t="s">
        <v>444</v>
      </c>
      <c r="B417" t="s">
        <v>48</v>
      </c>
      <c r="D417">
        <v>1</v>
      </c>
      <c r="E417" t="s">
        <v>23</v>
      </c>
      <c r="F417" t="s">
        <v>1048</v>
      </c>
      <c r="G417" t="s">
        <v>1049</v>
      </c>
      <c r="H417">
        <v>17.27</v>
      </c>
      <c r="I417">
        <v>17.27</v>
      </c>
      <c r="J417">
        <v>0</v>
      </c>
      <c r="K417">
        <v>17.27</v>
      </c>
      <c r="L417">
        <v>0.1</v>
      </c>
      <c r="M417">
        <v>19.188888888888886</v>
      </c>
      <c r="N417" s="178">
        <v>44763</v>
      </c>
      <c r="O417" t="s">
        <v>221</v>
      </c>
    </row>
    <row r="418" spans="1:15" x14ac:dyDescent="0.2">
      <c r="A418" t="s">
        <v>359</v>
      </c>
      <c r="B418" t="s">
        <v>184</v>
      </c>
      <c r="D418">
        <v>1</v>
      </c>
      <c r="E418" t="s">
        <v>612</v>
      </c>
      <c r="F418" t="s">
        <v>1050</v>
      </c>
      <c r="G418" t="s">
        <v>1051</v>
      </c>
      <c r="H418">
        <v>14.21</v>
      </c>
      <c r="I418">
        <v>14.21</v>
      </c>
      <c r="J418">
        <v>0</v>
      </c>
      <c r="K418">
        <v>14.21</v>
      </c>
      <c r="L418">
        <v>0.1</v>
      </c>
      <c r="M418">
        <v>15.78888888888889</v>
      </c>
      <c r="N418" s="178">
        <v>44723</v>
      </c>
      <c r="O418" t="s">
        <v>187</v>
      </c>
    </row>
    <row r="419" spans="1:15" x14ac:dyDescent="0.2">
      <c r="A419" t="s">
        <v>359</v>
      </c>
      <c r="B419" t="s">
        <v>184</v>
      </c>
      <c r="D419">
        <v>1</v>
      </c>
      <c r="E419" t="s">
        <v>612</v>
      </c>
      <c r="F419" t="s">
        <v>1052</v>
      </c>
      <c r="G419" t="s">
        <v>1053</v>
      </c>
      <c r="H419">
        <v>17.190000000000001</v>
      </c>
      <c r="I419">
        <v>17.190000000000001</v>
      </c>
      <c r="J419">
        <v>0</v>
      </c>
      <c r="K419">
        <v>17.190000000000001</v>
      </c>
      <c r="L419">
        <v>0.1</v>
      </c>
      <c r="M419">
        <v>19.100000000000001</v>
      </c>
      <c r="N419" s="178">
        <v>44723</v>
      </c>
      <c r="O419" t="s">
        <v>187</v>
      </c>
    </row>
    <row r="420" spans="1:15" x14ac:dyDescent="0.2">
      <c r="A420" t="s">
        <v>359</v>
      </c>
      <c r="B420" t="s">
        <v>184</v>
      </c>
      <c r="D420">
        <v>1</v>
      </c>
      <c r="E420" t="s">
        <v>612</v>
      </c>
      <c r="F420" t="s">
        <v>1054</v>
      </c>
      <c r="G420" t="s">
        <v>1055</v>
      </c>
      <c r="H420">
        <v>43.27</v>
      </c>
      <c r="I420">
        <v>43.27</v>
      </c>
      <c r="J420">
        <v>0</v>
      </c>
      <c r="K420">
        <v>43.27</v>
      </c>
      <c r="L420">
        <v>0.1</v>
      </c>
      <c r="M420">
        <v>48.077777777777783</v>
      </c>
      <c r="N420" s="178">
        <v>44723</v>
      </c>
      <c r="O420" t="s">
        <v>187</v>
      </c>
    </row>
    <row r="421" spans="1:15" x14ac:dyDescent="0.2">
      <c r="A421" t="s">
        <v>359</v>
      </c>
      <c r="B421" t="s">
        <v>184</v>
      </c>
      <c r="D421">
        <v>1</v>
      </c>
      <c r="E421" t="s">
        <v>612</v>
      </c>
      <c r="F421" t="s">
        <v>1056</v>
      </c>
      <c r="G421" t="s">
        <v>1057</v>
      </c>
      <c r="H421">
        <v>36.69</v>
      </c>
      <c r="I421">
        <v>36.69</v>
      </c>
      <c r="J421">
        <v>0</v>
      </c>
      <c r="K421">
        <v>36.69</v>
      </c>
      <c r="L421">
        <v>0.1</v>
      </c>
      <c r="M421">
        <v>40.766666666666666</v>
      </c>
      <c r="N421" s="178">
        <v>44723</v>
      </c>
      <c r="O421" t="s">
        <v>187</v>
      </c>
    </row>
    <row r="422" spans="1:15" x14ac:dyDescent="0.2">
      <c r="A422" t="s">
        <v>359</v>
      </c>
      <c r="B422" t="s">
        <v>184</v>
      </c>
      <c r="D422">
        <v>1</v>
      </c>
      <c r="E422" t="s">
        <v>612</v>
      </c>
      <c r="F422" t="s">
        <v>1058</v>
      </c>
      <c r="G422" t="s">
        <v>1059</v>
      </c>
      <c r="H422">
        <v>39.520000000000003</v>
      </c>
      <c r="I422">
        <v>39.520000000000003</v>
      </c>
      <c r="J422">
        <v>0</v>
      </c>
      <c r="K422">
        <v>39.520000000000003</v>
      </c>
      <c r="L422">
        <v>0.1</v>
      </c>
      <c r="M422">
        <v>43.911111111111111</v>
      </c>
      <c r="N422" s="178">
        <v>44723</v>
      </c>
      <c r="O422" t="s">
        <v>187</v>
      </c>
    </row>
    <row r="423" spans="1:15" x14ac:dyDescent="0.2">
      <c r="A423" t="s">
        <v>359</v>
      </c>
      <c r="B423" t="s">
        <v>184</v>
      </c>
      <c r="D423">
        <v>1</v>
      </c>
      <c r="E423" t="s">
        <v>41</v>
      </c>
      <c r="F423" t="s">
        <v>366</v>
      </c>
      <c r="G423" t="s">
        <v>367</v>
      </c>
      <c r="H423">
        <v>36.299999999999997</v>
      </c>
      <c r="I423">
        <v>36.299999999999997</v>
      </c>
      <c r="J423">
        <v>0</v>
      </c>
      <c r="K423">
        <v>36.299999999999997</v>
      </c>
      <c r="L423">
        <v>0.1</v>
      </c>
      <c r="M423">
        <v>40.333333333333329</v>
      </c>
      <c r="N423" s="178">
        <v>43740</v>
      </c>
      <c r="O423" t="s">
        <v>187</v>
      </c>
    </row>
    <row r="424" spans="1:15" x14ac:dyDescent="0.2">
      <c r="A424" t="s">
        <v>359</v>
      </c>
      <c r="B424" t="s">
        <v>184</v>
      </c>
      <c r="D424">
        <v>1</v>
      </c>
      <c r="E424" t="s">
        <v>41</v>
      </c>
      <c r="F424" t="s">
        <v>364</v>
      </c>
      <c r="G424" t="s">
        <v>365</v>
      </c>
      <c r="H424">
        <v>14.21</v>
      </c>
      <c r="I424">
        <v>14.21</v>
      </c>
      <c r="J424">
        <v>0</v>
      </c>
      <c r="K424">
        <v>14.21</v>
      </c>
      <c r="L424">
        <v>0.1</v>
      </c>
      <c r="M424">
        <v>15.78888888888889</v>
      </c>
      <c r="N424" s="178">
        <v>44730</v>
      </c>
      <c r="O424" t="s">
        <v>187</v>
      </c>
    </row>
    <row r="425" spans="1:15" x14ac:dyDescent="0.2">
      <c r="A425" t="s">
        <v>359</v>
      </c>
      <c r="B425" t="s">
        <v>49</v>
      </c>
      <c r="D425">
        <v>1</v>
      </c>
      <c r="E425" t="s">
        <v>23</v>
      </c>
      <c r="F425" t="s">
        <v>533</v>
      </c>
      <c r="G425" t="s">
        <v>534</v>
      </c>
      <c r="H425">
        <v>135.77000000000001</v>
      </c>
      <c r="I425">
        <v>135.77000000000001</v>
      </c>
      <c r="J425">
        <v>0</v>
      </c>
      <c r="K425">
        <v>135.77000000000001</v>
      </c>
      <c r="L425">
        <v>0.1</v>
      </c>
      <c r="M425">
        <v>150.85555555555555</v>
      </c>
      <c r="N425" s="178">
        <v>44723</v>
      </c>
      <c r="O425" t="s">
        <v>187</v>
      </c>
    </row>
    <row r="426" spans="1:15" x14ac:dyDescent="0.2">
      <c r="A426" t="s">
        <v>222</v>
      </c>
      <c r="B426" t="s">
        <v>49</v>
      </c>
      <c r="D426">
        <v>1</v>
      </c>
      <c r="E426" t="s">
        <v>23</v>
      </c>
      <c r="F426" t="s">
        <v>536</v>
      </c>
      <c r="G426" t="s">
        <v>537</v>
      </c>
      <c r="H426">
        <v>297.11</v>
      </c>
      <c r="I426">
        <v>297.11</v>
      </c>
      <c r="J426">
        <v>0</v>
      </c>
      <c r="K426">
        <v>297.11</v>
      </c>
      <c r="L426">
        <v>0.1</v>
      </c>
      <c r="M426">
        <v>330.12222222222221</v>
      </c>
      <c r="N426" s="178">
        <v>44723</v>
      </c>
      <c r="O426" t="s">
        <v>187</v>
      </c>
    </row>
    <row r="427" spans="1:15" x14ac:dyDescent="0.2">
      <c r="A427" t="s">
        <v>588</v>
      </c>
      <c r="B427" t="s">
        <v>19</v>
      </c>
      <c r="D427">
        <v>1</v>
      </c>
      <c r="E427" t="s">
        <v>23</v>
      </c>
      <c r="F427" t="s">
        <v>1060</v>
      </c>
      <c r="G427" t="s">
        <v>1061</v>
      </c>
      <c r="H427">
        <v>1653.21</v>
      </c>
      <c r="I427">
        <v>1653.21</v>
      </c>
      <c r="J427">
        <v>0</v>
      </c>
      <c r="K427">
        <v>1653.21</v>
      </c>
      <c r="L427">
        <v>0.1</v>
      </c>
      <c r="M427">
        <v>1836.9</v>
      </c>
      <c r="N427" s="178">
        <v>44762</v>
      </c>
      <c r="O427" t="s">
        <v>588</v>
      </c>
    </row>
    <row r="428" spans="1:15" x14ac:dyDescent="0.2">
      <c r="A428" t="s">
        <v>359</v>
      </c>
      <c r="B428" t="s">
        <v>184</v>
      </c>
      <c r="D428">
        <v>1</v>
      </c>
      <c r="E428" t="s">
        <v>23</v>
      </c>
      <c r="F428" t="s">
        <v>190</v>
      </c>
      <c r="G428" t="s">
        <v>191</v>
      </c>
      <c r="H428">
        <v>74.34</v>
      </c>
      <c r="I428">
        <v>74.34</v>
      </c>
      <c r="J428">
        <v>0</v>
      </c>
      <c r="K428">
        <v>74.34</v>
      </c>
      <c r="L428">
        <v>0.1</v>
      </c>
      <c r="M428">
        <v>82.600000000000009</v>
      </c>
      <c r="N428" s="178">
        <v>44461</v>
      </c>
      <c r="O428" t="s">
        <v>187</v>
      </c>
    </row>
    <row r="429" spans="1:15" x14ac:dyDescent="0.2">
      <c r="A429" t="s">
        <v>485</v>
      </c>
      <c r="B429" t="s">
        <v>49</v>
      </c>
      <c r="D429">
        <v>1</v>
      </c>
      <c r="E429" t="s">
        <v>23</v>
      </c>
      <c r="F429" t="s">
        <v>1062</v>
      </c>
      <c r="G429" t="s">
        <v>1063</v>
      </c>
      <c r="H429">
        <v>2124.92</v>
      </c>
      <c r="I429">
        <v>2124.92</v>
      </c>
      <c r="J429">
        <v>0</v>
      </c>
      <c r="K429">
        <v>2124.92</v>
      </c>
      <c r="L429">
        <v>0.1</v>
      </c>
      <c r="M429">
        <v>2361.0222222222224</v>
      </c>
      <c r="N429" s="178">
        <v>44776</v>
      </c>
      <c r="O429" t="s">
        <v>221</v>
      </c>
    </row>
    <row r="430" spans="1:15" hidden="1" x14ac:dyDescent="0.2">
      <c r="I430">
        <v>0</v>
      </c>
      <c r="J430">
        <v>0</v>
      </c>
      <c r="K430">
        <v>0</v>
      </c>
      <c r="L430">
        <v>0.1</v>
      </c>
      <c r="M430">
        <v>0</v>
      </c>
      <c r="N430" s="178"/>
    </row>
    <row r="431" spans="1:15" hidden="1" x14ac:dyDescent="0.2">
      <c r="I431">
        <v>0</v>
      </c>
      <c r="J431">
        <v>0</v>
      </c>
      <c r="K431">
        <v>0</v>
      </c>
      <c r="L431">
        <v>0.1</v>
      </c>
      <c r="M431">
        <v>0</v>
      </c>
      <c r="N431" s="178"/>
    </row>
    <row r="432" spans="1:15" hidden="1" x14ac:dyDescent="0.2">
      <c r="I432">
        <v>0</v>
      </c>
      <c r="J432">
        <v>0</v>
      </c>
      <c r="K432">
        <v>0</v>
      </c>
      <c r="L432">
        <v>0.1</v>
      </c>
      <c r="M432">
        <v>0</v>
      </c>
      <c r="N432" s="178"/>
    </row>
    <row r="433" spans="9:14" hidden="1" x14ac:dyDescent="0.2">
      <c r="I433">
        <v>0</v>
      </c>
      <c r="J433">
        <v>0</v>
      </c>
      <c r="K433">
        <v>0</v>
      </c>
      <c r="L433">
        <v>0.1</v>
      </c>
      <c r="M433">
        <v>0</v>
      </c>
      <c r="N433" s="178"/>
    </row>
    <row r="434" spans="9:14" hidden="1" x14ac:dyDescent="0.2">
      <c r="I434">
        <v>0</v>
      </c>
      <c r="J434">
        <v>0</v>
      </c>
      <c r="K434">
        <v>0</v>
      </c>
      <c r="L434">
        <v>0.1</v>
      </c>
      <c r="M434">
        <v>0</v>
      </c>
      <c r="N434" s="178"/>
    </row>
    <row r="435" spans="9:14" hidden="1" x14ac:dyDescent="0.2">
      <c r="I435">
        <v>0</v>
      </c>
      <c r="J435">
        <v>0</v>
      </c>
      <c r="K435">
        <v>0</v>
      </c>
      <c r="L435">
        <v>0.1</v>
      </c>
      <c r="M435">
        <v>0</v>
      </c>
      <c r="N435" s="178"/>
    </row>
    <row r="436" spans="9:14" hidden="1" x14ac:dyDescent="0.2">
      <c r="I436">
        <v>0</v>
      </c>
      <c r="J436">
        <v>0</v>
      </c>
      <c r="K436">
        <v>0</v>
      </c>
      <c r="L436">
        <v>0.1</v>
      </c>
      <c r="M436">
        <v>0</v>
      </c>
      <c r="N436" s="178"/>
    </row>
    <row r="437" spans="9:14" hidden="1" x14ac:dyDescent="0.2">
      <c r="I437">
        <v>0</v>
      </c>
      <c r="J437">
        <v>0</v>
      </c>
      <c r="K437">
        <v>0</v>
      </c>
      <c r="L437">
        <v>0.1</v>
      </c>
      <c r="M437">
        <v>0</v>
      </c>
      <c r="N437" s="178"/>
    </row>
    <row r="438" spans="9:14" hidden="1" x14ac:dyDescent="0.2">
      <c r="I438">
        <v>0</v>
      </c>
      <c r="J438">
        <v>0</v>
      </c>
      <c r="K438">
        <v>0</v>
      </c>
      <c r="L438">
        <v>0.1</v>
      </c>
      <c r="M438">
        <v>0</v>
      </c>
      <c r="N438" s="178"/>
    </row>
    <row r="439" spans="9:14" hidden="1" x14ac:dyDescent="0.2">
      <c r="I439">
        <v>0</v>
      </c>
      <c r="J439">
        <v>0</v>
      </c>
      <c r="K439">
        <v>0</v>
      </c>
      <c r="L439">
        <v>0.1</v>
      </c>
      <c r="M439">
        <v>0</v>
      </c>
      <c r="N439" s="178"/>
    </row>
    <row r="440" spans="9:14" hidden="1" x14ac:dyDescent="0.2">
      <c r="I440">
        <v>0</v>
      </c>
      <c r="J440">
        <v>0</v>
      </c>
      <c r="K440">
        <v>0</v>
      </c>
      <c r="L440">
        <v>0.1</v>
      </c>
      <c r="M440">
        <v>0</v>
      </c>
      <c r="N440" s="178"/>
    </row>
    <row r="441" spans="9:14" hidden="1" x14ac:dyDescent="0.2">
      <c r="I441">
        <v>0</v>
      </c>
      <c r="J441">
        <v>0</v>
      </c>
      <c r="K441">
        <v>0</v>
      </c>
      <c r="L441">
        <v>0.1</v>
      </c>
      <c r="M441">
        <v>0</v>
      </c>
      <c r="N441" s="178"/>
    </row>
    <row r="442" spans="9:14" hidden="1" x14ac:dyDescent="0.2">
      <c r="I442">
        <v>0</v>
      </c>
      <c r="J442">
        <v>0</v>
      </c>
      <c r="K442">
        <v>0</v>
      </c>
      <c r="L442">
        <v>0.1</v>
      </c>
      <c r="M442">
        <v>0</v>
      </c>
      <c r="N442" s="178"/>
    </row>
    <row r="443" spans="9:14" hidden="1" x14ac:dyDescent="0.2">
      <c r="I443">
        <v>0</v>
      </c>
      <c r="J443">
        <v>0</v>
      </c>
      <c r="K443">
        <v>0</v>
      </c>
      <c r="L443">
        <v>0.1</v>
      </c>
      <c r="M443">
        <v>0</v>
      </c>
      <c r="N443" s="178"/>
    </row>
    <row r="444" spans="9:14" hidden="1" x14ac:dyDescent="0.2">
      <c r="I444">
        <v>0</v>
      </c>
      <c r="J444">
        <v>0</v>
      </c>
      <c r="K444">
        <v>0</v>
      </c>
      <c r="L444">
        <v>0.1</v>
      </c>
      <c r="M444">
        <v>0</v>
      </c>
      <c r="N444" s="178"/>
    </row>
    <row r="445" spans="9:14" hidden="1" x14ac:dyDescent="0.2">
      <c r="I445">
        <v>0</v>
      </c>
      <c r="J445">
        <v>0</v>
      </c>
      <c r="K445">
        <v>0</v>
      </c>
      <c r="L445">
        <v>0.1</v>
      </c>
      <c r="M445">
        <v>0</v>
      </c>
      <c r="N445" s="178"/>
    </row>
    <row r="446" spans="9:14" hidden="1" x14ac:dyDescent="0.2">
      <c r="I446">
        <v>0</v>
      </c>
      <c r="J446">
        <v>0</v>
      </c>
      <c r="K446">
        <v>0</v>
      </c>
      <c r="L446">
        <v>0.1</v>
      </c>
      <c r="M446">
        <v>0</v>
      </c>
      <c r="N446" s="178"/>
    </row>
    <row r="447" spans="9:14" hidden="1" x14ac:dyDescent="0.2">
      <c r="I447">
        <v>0</v>
      </c>
      <c r="J447">
        <v>0</v>
      </c>
      <c r="K447">
        <v>0</v>
      </c>
      <c r="L447">
        <v>0.1</v>
      </c>
      <c r="M447">
        <v>0</v>
      </c>
      <c r="N447" s="178"/>
    </row>
    <row r="448" spans="9:14" hidden="1" x14ac:dyDescent="0.2">
      <c r="I448">
        <v>0</v>
      </c>
      <c r="J448">
        <v>0</v>
      </c>
      <c r="K448">
        <v>0</v>
      </c>
      <c r="L448">
        <v>0.1</v>
      </c>
      <c r="M448">
        <v>0</v>
      </c>
      <c r="N448" s="178"/>
    </row>
    <row r="449" spans="9:14" hidden="1" x14ac:dyDescent="0.2">
      <c r="I449">
        <v>0</v>
      </c>
      <c r="J449">
        <v>0</v>
      </c>
      <c r="K449">
        <v>0</v>
      </c>
      <c r="L449">
        <v>0.1</v>
      </c>
      <c r="M449">
        <v>0</v>
      </c>
      <c r="N449" s="178"/>
    </row>
    <row r="450" spans="9:14" hidden="1" x14ac:dyDescent="0.2">
      <c r="I450">
        <v>0</v>
      </c>
      <c r="J450">
        <v>0</v>
      </c>
      <c r="K450">
        <v>0</v>
      </c>
      <c r="L450">
        <v>0.1</v>
      </c>
      <c r="M450">
        <v>0</v>
      </c>
      <c r="N450" s="178"/>
    </row>
    <row r="451" spans="9:14" hidden="1" x14ac:dyDescent="0.2">
      <c r="I451">
        <v>0</v>
      </c>
      <c r="J451">
        <v>0</v>
      </c>
      <c r="K451">
        <v>0</v>
      </c>
      <c r="L451">
        <v>0.1</v>
      </c>
      <c r="M451">
        <v>0</v>
      </c>
      <c r="N451" s="178"/>
    </row>
    <row r="452" spans="9:14" hidden="1" x14ac:dyDescent="0.2">
      <c r="I452">
        <v>0</v>
      </c>
      <c r="J452">
        <v>0</v>
      </c>
      <c r="K452">
        <v>0</v>
      </c>
      <c r="L452">
        <v>0.1</v>
      </c>
      <c r="M452">
        <v>0</v>
      </c>
      <c r="N452" s="178"/>
    </row>
    <row r="453" spans="9:14" hidden="1" x14ac:dyDescent="0.2">
      <c r="I453">
        <v>0</v>
      </c>
      <c r="J453">
        <v>0</v>
      </c>
      <c r="K453">
        <v>0</v>
      </c>
      <c r="L453">
        <v>0.1</v>
      </c>
      <c r="M453">
        <v>0</v>
      </c>
      <c r="N453" s="178"/>
    </row>
    <row r="454" spans="9:14" hidden="1" x14ac:dyDescent="0.2">
      <c r="I454">
        <v>0</v>
      </c>
      <c r="J454">
        <v>0</v>
      </c>
      <c r="K454">
        <v>0</v>
      </c>
      <c r="L454">
        <v>0.1</v>
      </c>
      <c r="M454">
        <v>0</v>
      </c>
      <c r="N454" s="178"/>
    </row>
    <row r="455" spans="9:14" hidden="1" x14ac:dyDescent="0.2">
      <c r="I455">
        <v>0</v>
      </c>
      <c r="J455">
        <v>0</v>
      </c>
      <c r="K455">
        <v>0</v>
      </c>
      <c r="L455">
        <v>0.1</v>
      </c>
      <c r="M455">
        <v>0</v>
      </c>
      <c r="N455" s="178"/>
    </row>
    <row r="456" spans="9:14" hidden="1" x14ac:dyDescent="0.2">
      <c r="I456">
        <v>0</v>
      </c>
      <c r="J456">
        <v>0</v>
      </c>
      <c r="K456">
        <v>0</v>
      </c>
      <c r="L456">
        <v>0.1</v>
      </c>
      <c r="M456">
        <v>0</v>
      </c>
      <c r="N456" s="178"/>
    </row>
    <row r="457" spans="9:14" hidden="1" x14ac:dyDescent="0.2">
      <c r="I457">
        <v>0</v>
      </c>
      <c r="J457">
        <v>0</v>
      </c>
      <c r="K457">
        <v>0</v>
      </c>
      <c r="L457">
        <v>0.1</v>
      </c>
      <c r="M457">
        <v>0</v>
      </c>
      <c r="N457" s="178"/>
    </row>
    <row r="458" spans="9:14" hidden="1" x14ac:dyDescent="0.2">
      <c r="I458">
        <v>0</v>
      </c>
      <c r="J458">
        <v>0</v>
      </c>
      <c r="K458">
        <v>0</v>
      </c>
      <c r="L458">
        <v>0.1</v>
      </c>
      <c r="M458">
        <v>0</v>
      </c>
      <c r="N458" s="178"/>
    </row>
    <row r="459" spans="9:14" hidden="1" x14ac:dyDescent="0.2">
      <c r="I459">
        <v>0</v>
      </c>
      <c r="J459">
        <v>0</v>
      </c>
      <c r="K459">
        <v>0</v>
      </c>
      <c r="L459">
        <v>0.1</v>
      </c>
      <c r="M459">
        <v>0</v>
      </c>
      <c r="N459" s="178"/>
    </row>
    <row r="460" spans="9:14" hidden="1" x14ac:dyDescent="0.2">
      <c r="I460">
        <v>0</v>
      </c>
      <c r="J460">
        <v>0</v>
      </c>
      <c r="K460">
        <v>0</v>
      </c>
      <c r="L460">
        <v>0.1</v>
      </c>
      <c r="M460">
        <v>0</v>
      </c>
      <c r="N460" s="178"/>
    </row>
    <row r="461" spans="9:14" hidden="1" x14ac:dyDescent="0.2">
      <c r="I461">
        <v>0</v>
      </c>
      <c r="J461">
        <v>0</v>
      </c>
      <c r="K461">
        <v>0</v>
      </c>
      <c r="L461">
        <v>0.1</v>
      </c>
      <c r="M461">
        <v>0</v>
      </c>
      <c r="N461" s="178"/>
    </row>
    <row r="462" spans="9:14" hidden="1" x14ac:dyDescent="0.2">
      <c r="I462">
        <v>0</v>
      </c>
      <c r="J462">
        <v>0</v>
      </c>
      <c r="K462">
        <v>0</v>
      </c>
      <c r="L462">
        <v>0.1</v>
      </c>
      <c r="M462">
        <v>0</v>
      </c>
      <c r="N462" s="178"/>
    </row>
    <row r="463" spans="9:14" hidden="1" x14ac:dyDescent="0.2">
      <c r="I463">
        <v>0</v>
      </c>
      <c r="J463">
        <v>0</v>
      </c>
      <c r="K463">
        <v>0</v>
      </c>
      <c r="L463">
        <v>0.1</v>
      </c>
      <c r="M463">
        <v>0</v>
      </c>
      <c r="N463" s="178"/>
    </row>
    <row r="464" spans="9:14" hidden="1" x14ac:dyDescent="0.2">
      <c r="I464">
        <v>0</v>
      </c>
      <c r="J464">
        <v>0</v>
      </c>
      <c r="K464">
        <v>0</v>
      </c>
      <c r="L464">
        <v>0.1</v>
      </c>
      <c r="M464">
        <v>0</v>
      </c>
      <c r="N464" s="178"/>
    </row>
    <row r="465" spans="9:14" hidden="1" x14ac:dyDescent="0.2">
      <c r="I465">
        <v>0</v>
      </c>
      <c r="J465">
        <v>0</v>
      </c>
      <c r="K465">
        <v>0</v>
      </c>
      <c r="L465">
        <v>0.1</v>
      </c>
      <c r="M465">
        <v>0</v>
      </c>
      <c r="N465" s="178"/>
    </row>
    <row r="466" spans="9:14" hidden="1" x14ac:dyDescent="0.2">
      <c r="I466">
        <v>0</v>
      </c>
      <c r="J466">
        <v>0</v>
      </c>
      <c r="K466">
        <v>0</v>
      </c>
      <c r="L466">
        <v>0.1</v>
      </c>
      <c r="M466">
        <v>0</v>
      </c>
      <c r="N466" s="178"/>
    </row>
    <row r="467" spans="9:14" hidden="1" x14ac:dyDescent="0.2">
      <c r="I467">
        <v>0</v>
      </c>
      <c r="J467">
        <v>0</v>
      </c>
      <c r="K467">
        <v>0</v>
      </c>
      <c r="L467">
        <v>0.1</v>
      </c>
      <c r="M467">
        <v>0</v>
      </c>
      <c r="N467" s="178"/>
    </row>
    <row r="468" spans="9:14" hidden="1" x14ac:dyDescent="0.2">
      <c r="I468">
        <v>0</v>
      </c>
      <c r="J468">
        <v>0</v>
      </c>
      <c r="K468">
        <v>0</v>
      </c>
      <c r="L468">
        <v>0.1</v>
      </c>
      <c r="M468">
        <v>0</v>
      </c>
      <c r="N468" s="178"/>
    </row>
    <row r="469" spans="9:14" hidden="1" x14ac:dyDescent="0.2">
      <c r="I469">
        <v>0</v>
      </c>
      <c r="J469">
        <v>0</v>
      </c>
      <c r="K469">
        <v>0</v>
      </c>
      <c r="L469">
        <v>0.1</v>
      </c>
      <c r="M469">
        <v>0</v>
      </c>
      <c r="N469" s="178"/>
    </row>
    <row r="470" spans="9:14" hidden="1" x14ac:dyDescent="0.2">
      <c r="I470">
        <v>0</v>
      </c>
      <c r="J470">
        <v>0</v>
      </c>
      <c r="K470">
        <v>0</v>
      </c>
      <c r="L470">
        <v>0.1</v>
      </c>
      <c r="M470">
        <v>0</v>
      </c>
      <c r="N470" s="178"/>
    </row>
    <row r="471" spans="9:14" hidden="1" x14ac:dyDescent="0.2">
      <c r="I471">
        <v>0</v>
      </c>
      <c r="J471">
        <v>0</v>
      </c>
      <c r="K471">
        <v>0</v>
      </c>
      <c r="L471">
        <v>0.1</v>
      </c>
      <c r="M471">
        <v>0</v>
      </c>
      <c r="N471" s="178"/>
    </row>
    <row r="472" spans="9:14" hidden="1" x14ac:dyDescent="0.2">
      <c r="I472">
        <v>0</v>
      </c>
      <c r="J472">
        <v>0</v>
      </c>
      <c r="K472">
        <v>0</v>
      </c>
      <c r="L472">
        <v>0.1</v>
      </c>
      <c r="M472">
        <v>0</v>
      </c>
      <c r="N472" s="178"/>
    </row>
    <row r="473" spans="9:14" hidden="1" x14ac:dyDescent="0.2">
      <c r="I473">
        <v>0</v>
      </c>
      <c r="J473">
        <v>0</v>
      </c>
      <c r="K473">
        <v>0</v>
      </c>
      <c r="L473">
        <v>0.1</v>
      </c>
      <c r="M473">
        <v>0</v>
      </c>
      <c r="N473" s="178"/>
    </row>
    <row r="474" spans="9:14" hidden="1" x14ac:dyDescent="0.2">
      <c r="I474">
        <v>0</v>
      </c>
      <c r="J474">
        <v>0</v>
      </c>
      <c r="K474">
        <v>0</v>
      </c>
      <c r="L474">
        <v>0.1</v>
      </c>
      <c r="M474">
        <v>0</v>
      </c>
      <c r="N474" s="178"/>
    </row>
    <row r="475" spans="9:14" hidden="1" x14ac:dyDescent="0.2">
      <c r="I475">
        <v>0</v>
      </c>
      <c r="J475">
        <v>0</v>
      </c>
      <c r="K475">
        <v>0</v>
      </c>
      <c r="L475">
        <v>0.1</v>
      </c>
      <c r="M475">
        <v>0</v>
      </c>
      <c r="N475" s="178"/>
    </row>
    <row r="476" spans="9:14" hidden="1" x14ac:dyDescent="0.2">
      <c r="I476">
        <v>0</v>
      </c>
      <c r="J476">
        <v>0</v>
      </c>
      <c r="K476">
        <v>0</v>
      </c>
      <c r="L476">
        <v>0.1</v>
      </c>
      <c r="M476">
        <v>0</v>
      </c>
      <c r="N476" s="178"/>
    </row>
    <row r="477" spans="9:14" hidden="1" x14ac:dyDescent="0.2">
      <c r="I477">
        <v>0</v>
      </c>
      <c r="J477">
        <v>0</v>
      </c>
      <c r="K477">
        <v>0</v>
      </c>
      <c r="L477">
        <v>0.1</v>
      </c>
      <c r="M477">
        <v>0</v>
      </c>
      <c r="N477" s="178"/>
    </row>
    <row r="478" spans="9:14" hidden="1" x14ac:dyDescent="0.2">
      <c r="I478">
        <v>0</v>
      </c>
      <c r="J478">
        <v>0</v>
      </c>
      <c r="K478">
        <v>0</v>
      </c>
      <c r="L478">
        <v>0.1</v>
      </c>
      <c r="M478">
        <v>0</v>
      </c>
      <c r="N478" s="178"/>
    </row>
    <row r="479" spans="9:14" hidden="1" x14ac:dyDescent="0.2">
      <c r="I479">
        <v>0</v>
      </c>
      <c r="J479">
        <v>0</v>
      </c>
      <c r="K479">
        <v>0</v>
      </c>
      <c r="L479">
        <v>0.1</v>
      </c>
      <c r="M479">
        <v>0</v>
      </c>
      <c r="N479" s="178"/>
    </row>
    <row r="480" spans="9:14" hidden="1" x14ac:dyDescent="0.2">
      <c r="I480">
        <v>0</v>
      </c>
      <c r="J480">
        <v>0</v>
      </c>
      <c r="K480">
        <v>0</v>
      </c>
      <c r="L480">
        <v>0.1</v>
      </c>
      <c r="M480">
        <v>0</v>
      </c>
      <c r="N480" s="178"/>
    </row>
    <row r="481" spans="9:14" hidden="1" x14ac:dyDescent="0.2">
      <c r="I481">
        <v>0</v>
      </c>
      <c r="J481">
        <v>0</v>
      </c>
      <c r="K481">
        <v>0</v>
      </c>
      <c r="L481">
        <v>0.1</v>
      </c>
      <c r="M481">
        <v>0</v>
      </c>
      <c r="N481" s="178"/>
    </row>
    <row r="482" spans="9:14" hidden="1" x14ac:dyDescent="0.2">
      <c r="I482">
        <v>0</v>
      </c>
      <c r="J482">
        <v>0</v>
      </c>
      <c r="K482">
        <v>0</v>
      </c>
      <c r="L482">
        <v>0.1</v>
      </c>
      <c r="M482">
        <v>0</v>
      </c>
      <c r="N482" s="178"/>
    </row>
    <row r="483" spans="9:14" hidden="1" x14ac:dyDescent="0.2">
      <c r="I483">
        <v>0</v>
      </c>
      <c r="J483">
        <v>0</v>
      </c>
      <c r="K483">
        <v>0</v>
      </c>
      <c r="L483">
        <v>0.1</v>
      </c>
      <c r="M483">
        <v>0</v>
      </c>
      <c r="N483" s="178"/>
    </row>
    <row r="484" spans="9:14" hidden="1" x14ac:dyDescent="0.2">
      <c r="I484">
        <v>0</v>
      </c>
      <c r="J484">
        <v>0</v>
      </c>
      <c r="K484">
        <v>0</v>
      </c>
      <c r="L484">
        <v>0.1</v>
      </c>
      <c r="M484">
        <v>0</v>
      </c>
      <c r="N484" s="178"/>
    </row>
    <row r="485" spans="9:14" hidden="1" x14ac:dyDescent="0.2">
      <c r="I485">
        <v>0</v>
      </c>
      <c r="J485">
        <v>0</v>
      </c>
      <c r="K485">
        <v>0</v>
      </c>
      <c r="L485">
        <v>0.1</v>
      </c>
      <c r="M485">
        <v>0</v>
      </c>
      <c r="N485" s="178"/>
    </row>
    <row r="486" spans="9:14" hidden="1" x14ac:dyDescent="0.2">
      <c r="I486">
        <v>0</v>
      </c>
      <c r="J486">
        <v>0</v>
      </c>
      <c r="K486">
        <v>0</v>
      </c>
      <c r="L486">
        <v>0.1</v>
      </c>
      <c r="M486">
        <v>0</v>
      </c>
      <c r="N486" s="178"/>
    </row>
    <row r="487" spans="9:14" hidden="1" x14ac:dyDescent="0.2">
      <c r="I487">
        <v>0</v>
      </c>
      <c r="J487">
        <v>0</v>
      </c>
      <c r="K487">
        <v>0</v>
      </c>
      <c r="L487">
        <v>0.1</v>
      </c>
      <c r="M487">
        <v>0</v>
      </c>
      <c r="N487" s="178"/>
    </row>
    <row r="488" spans="9:14" hidden="1" x14ac:dyDescent="0.2">
      <c r="I488">
        <v>0</v>
      </c>
      <c r="J488">
        <v>0</v>
      </c>
      <c r="K488">
        <v>0</v>
      </c>
      <c r="L488">
        <v>0.1</v>
      </c>
      <c r="M488">
        <v>0</v>
      </c>
      <c r="N488" s="178"/>
    </row>
    <row r="489" spans="9:14" hidden="1" x14ac:dyDescent="0.2">
      <c r="I489">
        <v>0</v>
      </c>
      <c r="J489">
        <v>0</v>
      </c>
      <c r="K489">
        <v>0</v>
      </c>
      <c r="L489">
        <v>0.1</v>
      </c>
      <c r="M489">
        <v>0</v>
      </c>
      <c r="N489" s="178"/>
    </row>
    <row r="490" spans="9:14" hidden="1" x14ac:dyDescent="0.2">
      <c r="I490">
        <v>0</v>
      </c>
      <c r="J490">
        <v>0</v>
      </c>
      <c r="K490">
        <v>0</v>
      </c>
      <c r="L490">
        <v>0.1</v>
      </c>
      <c r="M490">
        <v>0</v>
      </c>
      <c r="N490" s="178"/>
    </row>
    <row r="491" spans="9:14" hidden="1" x14ac:dyDescent="0.2">
      <c r="I491">
        <v>0</v>
      </c>
      <c r="J491">
        <v>0</v>
      </c>
      <c r="K491">
        <v>0</v>
      </c>
      <c r="L491">
        <v>0.1</v>
      </c>
      <c r="M491">
        <v>0</v>
      </c>
      <c r="N491" s="178"/>
    </row>
    <row r="492" spans="9:14" hidden="1" x14ac:dyDescent="0.2">
      <c r="I492">
        <v>0</v>
      </c>
      <c r="J492">
        <v>0</v>
      </c>
      <c r="K492">
        <v>0</v>
      </c>
      <c r="L492">
        <v>0.1</v>
      </c>
      <c r="M492">
        <v>0</v>
      </c>
      <c r="N492" s="178"/>
    </row>
    <row r="493" spans="9:14" hidden="1" x14ac:dyDescent="0.2">
      <c r="I493">
        <v>0</v>
      </c>
      <c r="J493">
        <v>0</v>
      </c>
      <c r="K493">
        <v>0</v>
      </c>
      <c r="L493">
        <v>0.1</v>
      </c>
      <c r="M493">
        <v>0</v>
      </c>
      <c r="N493" s="178"/>
    </row>
    <row r="494" spans="9:14" hidden="1" x14ac:dyDescent="0.2">
      <c r="I494">
        <v>0</v>
      </c>
      <c r="J494">
        <v>0</v>
      </c>
      <c r="K494">
        <v>0</v>
      </c>
      <c r="L494">
        <v>0.1</v>
      </c>
      <c r="M494">
        <v>0</v>
      </c>
      <c r="N494" s="178"/>
    </row>
    <row r="495" spans="9:14" hidden="1" x14ac:dyDescent="0.2">
      <c r="I495">
        <v>0</v>
      </c>
      <c r="J495">
        <v>0</v>
      </c>
      <c r="K495">
        <v>0</v>
      </c>
      <c r="L495">
        <v>0.1</v>
      </c>
      <c r="M495">
        <v>0</v>
      </c>
      <c r="N495" s="178"/>
    </row>
    <row r="496" spans="9:14" hidden="1" x14ac:dyDescent="0.2">
      <c r="I496">
        <v>0</v>
      </c>
      <c r="J496">
        <v>0</v>
      </c>
      <c r="K496">
        <v>0</v>
      </c>
      <c r="L496">
        <v>0.1</v>
      </c>
      <c r="M496">
        <v>0</v>
      </c>
      <c r="N496" s="178"/>
    </row>
    <row r="497" spans="9:14" hidden="1" x14ac:dyDescent="0.2">
      <c r="I497">
        <v>0</v>
      </c>
      <c r="J497">
        <v>0</v>
      </c>
      <c r="K497">
        <v>0</v>
      </c>
      <c r="L497">
        <v>0.1</v>
      </c>
      <c r="M497">
        <v>0</v>
      </c>
      <c r="N497" s="178"/>
    </row>
    <row r="498" spans="9:14" hidden="1" x14ac:dyDescent="0.2">
      <c r="I498">
        <v>0</v>
      </c>
      <c r="J498">
        <v>0</v>
      </c>
      <c r="K498">
        <v>0</v>
      </c>
      <c r="L498">
        <v>0.1</v>
      </c>
      <c r="M498">
        <v>0</v>
      </c>
      <c r="N498" s="178"/>
    </row>
    <row r="499" spans="9:14" hidden="1" x14ac:dyDescent="0.2">
      <c r="I499">
        <v>0</v>
      </c>
      <c r="J499">
        <v>0</v>
      </c>
      <c r="K499">
        <v>0</v>
      </c>
      <c r="L499">
        <v>0.1</v>
      </c>
      <c r="M499">
        <v>0</v>
      </c>
      <c r="N499" s="178"/>
    </row>
    <row r="500" spans="9:14" hidden="1" x14ac:dyDescent="0.2">
      <c r="I500">
        <v>0</v>
      </c>
      <c r="J500">
        <v>0</v>
      </c>
      <c r="K500">
        <v>0</v>
      </c>
      <c r="L500">
        <v>0.1</v>
      </c>
      <c r="M500">
        <v>0</v>
      </c>
      <c r="N500" s="178"/>
    </row>
    <row r="501" spans="9:14" hidden="1" x14ac:dyDescent="0.2">
      <c r="I501">
        <v>0</v>
      </c>
      <c r="J501">
        <v>0</v>
      </c>
      <c r="K501">
        <v>0</v>
      </c>
      <c r="L501">
        <v>0.1</v>
      </c>
      <c r="M501">
        <v>0</v>
      </c>
      <c r="N501" s="178"/>
    </row>
    <row r="502" spans="9:14" hidden="1" x14ac:dyDescent="0.2">
      <c r="I502">
        <v>0</v>
      </c>
      <c r="J502">
        <v>0</v>
      </c>
      <c r="K502">
        <v>0</v>
      </c>
      <c r="L502">
        <v>0.1</v>
      </c>
      <c r="M502">
        <v>0</v>
      </c>
      <c r="N502" s="178"/>
    </row>
    <row r="503" spans="9:14" hidden="1" x14ac:dyDescent="0.2">
      <c r="I503">
        <v>0</v>
      </c>
      <c r="J503">
        <v>0</v>
      </c>
      <c r="K503">
        <v>0</v>
      </c>
      <c r="L503">
        <v>0.1</v>
      </c>
      <c r="M503">
        <v>0</v>
      </c>
      <c r="N503" s="178"/>
    </row>
    <row r="504" spans="9:14" hidden="1" x14ac:dyDescent="0.2">
      <c r="I504">
        <v>0</v>
      </c>
      <c r="J504">
        <v>0</v>
      </c>
      <c r="K504">
        <v>0</v>
      </c>
      <c r="L504">
        <v>1.1000000000000001</v>
      </c>
      <c r="M504">
        <v>0</v>
      </c>
      <c r="N504" s="178"/>
    </row>
    <row r="505" spans="9:14" hidden="1" x14ac:dyDescent="0.2">
      <c r="I505">
        <v>0</v>
      </c>
      <c r="J505">
        <v>0</v>
      </c>
      <c r="K505">
        <v>0</v>
      </c>
      <c r="L505">
        <v>2.1</v>
      </c>
      <c r="M505">
        <v>0</v>
      </c>
      <c r="N505" s="178"/>
    </row>
    <row r="506" spans="9:14" hidden="1" x14ac:dyDescent="0.2">
      <c r="I506">
        <v>0</v>
      </c>
      <c r="K506">
        <v>0</v>
      </c>
      <c r="L506">
        <v>0.1</v>
      </c>
      <c r="M506">
        <v>0</v>
      </c>
      <c r="N506" s="178"/>
    </row>
    <row r="507" spans="9:14" hidden="1" x14ac:dyDescent="0.2">
      <c r="I507">
        <v>0</v>
      </c>
      <c r="K507">
        <v>0</v>
      </c>
      <c r="L507">
        <v>0.1</v>
      </c>
      <c r="M507">
        <v>0</v>
      </c>
      <c r="N507" s="178"/>
    </row>
    <row r="508" spans="9:14" hidden="1" x14ac:dyDescent="0.2">
      <c r="I508">
        <v>0</v>
      </c>
      <c r="K508">
        <v>0</v>
      </c>
      <c r="L508">
        <v>0.1</v>
      </c>
      <c r="M508">
        <v>0</v>
      </c>
      <c r="N508" s="178"/>
    </row>
    <row r="509" spans="9:14" hidden="1" x14ac:dyDescent="0.2">
      <c r="I509">
        <v>0</v>
      </c>
      <c r="K509">
        <v>0</v>
      </c>
      <c r="L509">
        <v>0.1</v>
      </c>
      <c r="M509">
        <v>0</v>
      </c>
      <c r="N509" s="178"/>
    </row>
    <row r="510" spans="9:14" hidden="1" x14ac:dyDescent="0.2">
      <c r="I510">
        <v>0</v>
      </c>
      <c r="K510">
        <v>0</v>
      </c>
      <c r="L510">
        <v>0.1</v>
      </c>
      <c r="M510">
        <v>0</v>
      </c>
      <c r="N510" s="178"/>
    </row>
    <row r="511" spans="9:14" hidden="1" x14ac:dyDescent="0.2">
      <c r="I511">
        <v>0</v>
      </c>
      <c r="K511">
        <v>0</v>
      </c>
      <c r="L511">
        <v>0.1</v>
      </c>
      <c r="M511">
        <v>0</v>
      </c>
      <c r="N511" s="178"/>
    </row>
    <row r="512" spans="9:14" hidden="1" x14ac:dyDescent="0.2">
      <c r="I512">
        <v>0</v>
      </c>
      <c r="K512">
        <v>0</v>
      </c>
      <c r="L512">
        <v>0.1</v>
      </c>
      <c r="M512">
        <v>0</v>
      </c>
      <c r="N512" s="178"/>
    </row>
    <row r="513" spans="9:14" hidden="1" x14ac:dyDescent="0.2">
      <c r="I513">
        <v>0</v>
      </c>
      <c r="K513">
        <v>0</v>
      </c>
      <c r="L513">
        <v>0.1</v>
      </c>
      <c r="M513">
        <v>0</v>
      </c>
      <c r="N513" s="178"/>
    </row>
    <row r="514" spans="9:14" hidden="1" x14ac:dyDescent="0.2">
      <c r="I514">
        <v>0</v>
      </c>
      <c r="K514">
        <v>0</v>
      </c>
      <c r="L514">
        <v>0.1</v>
      </c>
      <c r="M514">
        <v>0</v>
      </c>
      <c r="N514" s="178"/>
    </row>
    <row r="515" spans="9:14" hidden="1" x14ac:dyDescent="0.2">
      <c r="I515">
        <v>0</v>
      </c>
      <c r="K515">
        <v>0</v>
      </c>
      <c r="L515">
        <v>0.1</v>
      </c>
      <c r="M515">
        <v>0</v>
      </c>
      <c r="N515" s="178"/>
    </row>
    <row r="516" spans="9:14" hidden="1" x14ac:dyDescent="0.2">
      <c r="I516">
        <v>0</v>
      </c>
      <c r="K516">
        <v>0</v>
      </c>
      <c r="L516">
        <v>0.1</v>
      </c>
      <c r="M516">
        <v>0</v>
      </c>
      <c r="N516" s="178"/>
    </row>
    <row r="517" spans="9:14" hidden="1" x14ac:dyDescent="0.2">
      <c r="I517">
        <v>0</v>
      </c>
      <c r="K517">
        <v>0</v>
      </c>
      <c r="L517">
        <v>0.1</v>
      </c>
      <c r="M517">
        <v>0</v>
      </c>
      <c r="N517" s="178"/>
    </row>
    <row r="518" spans="9:14" hidden="1" x14ac:dyDescent="0.2">
      <c r="N518" s="178"/>
    </row>
    <row r="519" spans="9:14" hidden="1" x14ac:dyDescent="0.2">
      <c r="N519" s="178"/>
    </row>
    <row r="520" spans="9:14" hidden="1" x14ac:dyDescent="0.2">
      <c r="N520" s="178"/>
    </row>
    <row r="521" spans="9:14" hidden="1" x14ac:dyDescent="0.2">
      <c r="N521" s="178"/>
    </row>
    <row r="522" spans="9:14" hidden="1" x14ac:dyDescent="0.2">
      <c r="N522" s="178"/>
    </row>
    <row r="523" spans="9:14" hidden="1" x14ac:dyDescent="0.2">
      <c r="N523" s="178"/>
    </row>
    <row r="524" spans="9:14" hidden="1" x14ac:dyDescent="0.2">
      <c r="I524">
        <v>0</v>
      </c>
      <c r="K524">
        <v>0</v>
      </c>
      <c r="M524">
        <v>0</v>
      </c>
      <c r="N524" s="178"/>
    </row>
    <row r="525" spans="9:14" hidden="1" x14ac:dyDescent="0.2">
      <c r="N525" s="178"/>
    </row>
    <row r="526" spans="9:14" hidden="1" x14ac:dyDescent="0.2">
      <c r="N526" s="178"/>
    </row>
    <row r="527" spans="9:14" hidden="1" x14ac:dyDescent="0.2">
      <c r="N527" s="178"/>
    </row>
    <row r="528" spans="9:14" hidden="1" x14ac:dyDescent="0.2">
      <c r="N528" s="178"/>
    </row>
    <row r="529" spans="14:14" hidden="1" x14ac:dyDescent="0.2">
      <c r="N529" s="178"/>
    </row>
    <row r="530" spans="14:14" hidden="1" x14ac:dyDescent="0.2">
      <c r="N530" s="178"/>
    </row>
    <row r="531" spans="14:14" hidden="1" x14ac:dyDescent="0.2">
      <c r="N531" s="178"/>
    </row>
    <row r="532" spans="14:14" hidden="1" x14ac:dyDescent="0.2">
      <c r="N532" s="178"/>
    </row>
    <row r="533" spans="14:14" hidden="1" x14ac:dyDescent="0.2">
      <c r="N533" s="178"/>
    </row>
    <row r="534" spans="14:14" hidden="1" x14ac:dyDescent="0.2">
      <c r="N534" s="178"/>
    </row>
    <row r="535" spans="14:14" hidden="1" x14ac:dyDescent="0.2">
      <c r="N535" s="178"/>
    </row>
    <row r="536" spans="14:14" hidden="1" x14ac:dyDescent="0.2">
      <c r="N536" s="178"/>
    </row>
    <row r="537" spans="14:14" hidden="1" x14ac:dyDescent="0.2">
      <c r="N537" s="178"/>
    </row>
    <row r="538" spans="14:14" hidden="1" x14ac:dyDescent="0.2">
      <c r="N538" s="178"/>
    </row>
    <row r="539" spans="14:14" hidden="1" x14ac:dyDescent="0.2">
      <c r="N539" s="178"/>
    </row>
    <row r="540" spans="14:14" hidden="1" x14ac:dyDescent="0.2">
      <c r="N540" s="178"/>
    </row>
    <row r="541" spans="14:14" hidden="1" x14ac:dyDescent="0.2">
      <c r="N541" s="178"/>
    </row>
    <row r="542" spans="14:14" hidden="1" x14ac:dyDescent="0.2">
      <c r="N542" s="178"/>
    </row>
    <row r="543" spans="14:14" hidden="1" x14ac:dyDescent="0.2">
      <c r="N543" s="178"/>
    </row>
    <row r="544" spans="14:14" hidden="1" x14ac:dyDescent="0.2">
      <c r="N544" s="178"/>
    </row>
    <row r="545" spans="14:14" hidden="1" x14ac:dyDescent="0.2">
      <c r="N545" s="178"/>
    </row>
    <row r="546" spans="14:14" hidden="1" x14ac:dyDescent="0.2">
      <c r="N546" s="178"/>
    </row>
    <row r="547" spans="14:14" hidden="1" x14ac:dyDescent="0.2">
      <c r="N547" s="178"/>
    </row>
    <row r="548" spans="14:14" hidden="1" x14ac:dyDescent="0.2">
      <c r="N548" s="178"/>
    </row>
    <row r="549" spans="14:14" hidden="1" x14ac:dyDescent="0.2">
      <c r="N549" s="178"/>
    </row>
    <row r="550" spans="14:14" hidden="1" x14ac:dyDescent="0.2">
      <c r="N550" s="178"/>
    </row>
    <row r="551" spans="14:14" hidden="1" x14ac:dyDescent="0.2">
      <c r="N551" s="178"/>
    </row>
    <row r="552" spans="14:14" hidden="1" x14ac:dyDescent="0.2">
      <c r="N552" s="178"/>
    </row>
    <row r="553" spans="14:14" hidden="1" x14ac:dyDescent="0.2">
      <c r="N553" s="178"/>
    </row>
    <row r="554" spans="14:14" hidden="1" x14ac:dyDescent="0.2">
      <c r="N554" s="178"/>
    </row>
    <row r="555" spans="14:14" hidden="1" x14ac:dyDescent="0.2">
      <c r="N555" s="178"/>
    </row>
    <row r="556" spans="14:14" hidden="1" x14ac:dyDescent="0.2">
      <c r="N556" s="178"/>
    </row>
    <row r="557" spans="14:14" hidden="1" x14ac:dyDescent="0.2">
      <c r="N557" s="178"/>
    </row>
    <row r="558" spans="14:14" hidden="1" x14ac:dyDescent="0.2">
      <c r="N558" s="178"/>
    </row>
    <row r="559" spans="14:14" hidden="1" x14ac:dyDescent="0.2">
      <c r="N559" s="178"/>
    </row>
    <row r="560" spans="14:14" hidden="1" x14ac:dyDescent="0.2">
      <c r="N560" s="178"/>
    </row>
    <row r="561" spans="14:14" hidden="1" x14ac:dyDescent="0.2">
      <c r="N561" s="178"/>
    </row>
    <row r="562" spans="14:14" hidden="1" x14ac:dyDescent="0.2">
      <c r="N562" s="178"/>
    </row>
    <row r="563" spans="14:14" hidden="1" x14ac:dyDescent="0.2">
      <c r="N563" s="178"/>
    </row>
    <row r="564" spans="14:14" hidden="1" x14ac:dyDescent="0.2">
      <c r="N564" s="178"/>
    </row>
    <row r="565" spans="14:14" hidden="1" x14ac:dyDescent="0.2">
      <c r="N565" s="178"/>
    </row>
    <row r="566" spans="14:14" hidden="1" x14ac:dyDescent="0.2">
      <c r="N566" s="178"/>
    </row>
    <row r="567" spans="14:14" hidden="1" x14ac:dyDescent="0.2">
      <c r="N567" s="178"/>
    </row>
    <row r="568" spans="14:14" hidden="1" x14ac:dyDescent="0.2">
      <c r="N568" s="178"/>
    </row>
    <row r="569" spans="14:14" hidden="1" x14ac:dyDescent="0.2">
      <c r="N569" s="178"/>
    </row>
    <row r="570" spans="14:14" hidden="1" x14ac:dyDescent="0.2">
      <c r="N570" s="178"/>
    </row>
    <row r="571" spans="14:14" hidden="1" x14ac:dyDescent="0.2">
      <c r="N571" s="178"/>
    </row>
    <row r="572" spans="14:14" hidden="1" x14ac:dyDescent="0.2">
      <c r="N572" s="178"/>
    </row>
    <row r="573" spans="14:14" hidden="1" x14ac:dyDescent="0.2">
      <c r="N573" s="178"/>
    </row>
    <row r="574" spans="14:14" hidden="1" x14ac:dyDescent="0.2">
      <c r="N574" s="178"/>
    </row>
    <row r="575" spans="14:14" hidden="1" x14ac:dyDescent="0.2">
      <c r="N575" s="178"/>
    </row>
    <row r="576" spans="14:14" hidden="1" x14ac:dyDescent="0.2">
      <c r="N576" s="178"/>
    </row>
    <row r="577" spans="14:14" hidden="1" x14ac:dyDescent="0.2">
      <c r="N577" s="178"/>
    </row>
    <row r="578" spans="14:14" hidden="1" x14ac:dyDescent="0.2">
      <c r="N578" s="178"/>
    </row>
    <row r="579" spans="14:14" hidden="1" x14ac:dyDescent="0.2">
      <c r="N579" s="178"/>
    </row>
    <row r="580" spans="14:14" hidden="1" x14ac:dyDescent="0.2">
      <c r="N580" s="178"/>
    </row>
    <row r="581" spans="14:14" hidden="1" x14ac:dyDescent="0.2">
      <c r="N581" s="178"/>
    </row>
    <row r="582" spans="14:14" hidden="1" x14ac:dyDescent="0.2">
      <c r="N582" s="178"/>
    </row>
    <row r="583" spans="14:14" hidden="1" x14ac:dyDescent="0.2">
      <c r="N583" s="178"/>
    </row>
    <row r="584" spans="14:14" hidden="1" x14ac:dyDescent="0.2">
      <c r="N584" s="178"/>
    </row>
    <row r="585" spans="14:14" hidden="1" x14ac:dyDescent="0.2">
      <c r="N585" s="178"/>
    </row>
    <row r="586" spans="14:14" hidden="1" x14ac:dyDescent="0.2">
      <c r="N586" s="178"/>
    </row>
    <row r="587" spans="14:14" hidden="1" x14ac:dyDescent="0.2">
      <c r="N587" s="178"/>
    </row>
    <row r="588" spans="14:14" hidden="1" x14ac:dyDescent="0.2">
      <c r="N588" s="178"/>
    </row>
    <row r="589" spans="14:14" hidden="1" x14ac:dyDescent="0.2">
      <c r="N589" s="178"/>
    </row>
    <row r="590" spans="14:14" hidden="1" x14ac:dyDescent="0.2">
      <c r="N590" s="178"/>
    </row>
    <row r="591" spans="14:14" hidden="1" x14ac:dyDescent="0.2">
      <c r="N591" s="178"/>
    </row>
    <row r="592" spans="14:14" hidden="1" x14ac:dyDescent="0.2">
      <c r="N592" s="178"/>
    </row>
    <row r="593" spans="14:14" hidden="1" x14ac:dyDescent="0.2">
      <c r="N593" s="178"/>
    </row>
    <row r="594" spans="14:14" hidden="1" x14ac:dyDescent="0.2">
      <c r="N594" s="178"/>
    </row>
    <row r="595" spans="14:14" hidden="1" x14ac:dyDescent="0.2">
      <c r="N595" s="178"/>
    </row>
    <row r="596" spans="14:14" hidden="1" x14ac:dyDescent="0.2">
      <c r="N596" s="178"/>
    </row>
    <row r="597" spans="14:14" hidden="1" x14ac:dyDescent="0.2">
      <c r="N597" s="178"/>
    </row>
    <row r="598" spans="14:14" hidden="1" x14ac:dyDescent="0.2">
      <c r="N598" s="178"/>
    </row>
    <row r="599" spans="14:14" hidden="1" x14ac:dyDescent="0.2">
      <c r="N599" s="178"/>
    </row>
    <row r="600" spans="14:14" hidden="1" x14ac:dyDescent="0.2">
      <c r="N600" s="178"/>
    </row>
    <row r="601" spans="14:14" hidden="1" x14ac:dyDescent="0.2">
      <c r="N601" s="178"/>
    </row>
    <row r="602" spans="14:14" hidden="1" x14ac:dyDescent="0.2">
      <c r="N602" s="178"/>
    </row>
    <row r="603" spans="14:14" hidden="1" x14ac:dyDescent="0.2">
      <c r="N603" s="178"/>
    </row>
    <row r="604" spans="14:14" hidden="1" x14ac:dyDescent="0.2">
      <c r="N604" s="178"/>
    </row>
    <row r="605" spans="14:14" hidden="1" x14ac:dyDescent="0.2">
      <c r="N605" s="178"/>
    </row>
    <row r="606" spans="14:14" hidden="1" x14ac:dyDescent="0.2">
      <c r="N606" s="178"/>
    </row>
    <row r="607" spans="14:14" hidden="1" x14ac:dyDescent="0.2">
      <c r="N607" s="178"/>
    </row>
    <row r="608" spans="14:14" hidden="1" x14ac:dyDescent="0.2">
      <c r="N608" s="178"/>
    </row>
    <row r="609" spans="14:14" hidden="1" x14ac:dyDescent="0.2">
      <c r="N609" s="178"/>
    </row>
    <row r="610" spans="14:14" hidden="1" x14ac:dyDescent="0.2">
      <c r="N610" s="178"/>
    </row>
    <row r="611" spans="14:14" hidden="1" x14ac:dyDescent="0.2">
      <c r="N611" s="178"/>
    </row>
    <row r="612" spans="14:14" hidden="1" x14ac:dyDescent="0.2">
      <c r="N612" s="178"/>
    </row>
    <row r="613" spans="14:14" hidden="1" x14ac:dyDescent="0.2">
      <c r="N613" s="178"/>
    </row>
    <row r="614" spans="14:14" hidden="1" x14ac:dyDescent="0.2">
      <c r="N614" s="178"/>
    </row>
    <row r="615" spans="14:14" hidden="1" x14ac:dyDescent="0.2">
      <c r="N615" s="178"/>
    </row>
    <row r="616" spans="14:14" hidden="1" x14ac:dyDescent="0.2">
      <c r="N616" s="178"/>
    </row>
    <row r="617" spans="14:14" hidden="1" x14ac:dyDescent="0.2">
      <c r="N617" s="178"/>
    </row>
    <row r="618" spans="14:14" hidden="1" x14ac:dyDescent="0.2">
      <c r="N618" s="178"/>
    </row>
    <row r="619" spans="14:14" hidden="1" x14ac:dyDescent="0.2">
      <c r="N619" s="178"/>
    </row>
    <row r="620" spans="14:14" hidden="1" x14ac:dyDescent="0.2">
      <c r="N620" s="178"/>
    </row>
    <row r="621" spans="14:14" hidden="1" x14ac:dyDescent="0.2">
      <c r="N621" s="178"/>
    </row>
    <row r="622" spans="14:14" hidden="1" x14ac:dyDescent="0.2">
      <c r="N622" s="178"/>
    </row>
    <row r="623" spans="14:14" hidden="1" x14ac:dyDescent="0.2">
      <c r="N623" s="178"/>
    </row>
    <row r="624" spans="14:14" hidden="1" x14ac:dyDescent="0.2">
      <c r="N624" s="178"/>
    </row>
    <row r="625" spans="14:14" hidden="1" x14ac:dyDescent="0.2">
      <c r="N625" s="178"/>
    </row>
    <row r="626" spans="14:14" hidden="1" x14ac:dyDescent="0.2">
      <c r="N626" s="178"/>
    </row>
    <row r="627" spans="14:14" hidden="1" x14ac:dyDescent="0.2">
      <c r="N627" s="178"/>
    </row>
    <row r="628" spans="14:14" hidden="1" x14ac:dyDescent="0.2">
      <c r="N628" s="178"/>
    </row>
    <row r="629" spans="14:14" hidden="1" x14ac:dyDescent="0.2">
      <c r="N629" s="178"/>
    </row>
    <row r="630" spans="14:14" hidden="1" x14ac:dyDescent="0.2">
      <c r="N630" s="178"/>
    </row>
    <row r="631" spans="14:14" hidden="1" x14ac:dyDescent="0.2">
      <c r="N631" s="178"/>
    </row>
    <row r="632" spans="14:14" hidden="1" x14ac:dyDescent="0.2">
      <c r="N632" s="178"/>
    </row>
    <row r="633" spans="14:14" hidden="1" x14ac:dyDescent="0.2">
      <c r="N633" s="178"/>
    </row>
    <row r="634" spans="14:14" hidden="1" x14ac:dyDescent="0.2">
      <c r="N634" s="178"/>
    </row>
    <row r="635" spans="14:14" hidden="1" x14ac:dyDescent="0.2">
      <c r="N635" s="178"/>
    </row>
    <row r="636" spans="14:14" hidden="1" x14ac:dyDescent="0.2">
      <c r="N636" s="178"/>
    </row>
    <row r="637" spans="14:14" hidden="1" x14ac:dyDescent="0.2">
      <c r="N637" s="178"/>
    </row>
    <row r="638" spans="14:14" hidden="1" x14ac:dyDescent="0.2">
      <c r="N638" s="178"/>
    </row>
    <row r="639" spans="14:14" hidden="1" x14ac:dyDescent="0.2">
      <c r="N639" s="178"/>
    </row>
    <row r="640" spans="14:14" hidden="1" x14ac:dyDescent="0.2">
      <c r="N640" s="178"/>
    </row>
    <row r="641" spans="14:14" hidden="1" x14ac:dyDescent="0.2">
      <c r="N641" s="178"/>
    </row>
    <row r="642" spans="14:14" hidden="1" x14ac:dyDescent="0.2">
      <c r="N642" s="178"/>
    </row>
    <row r="643" spans="14:14" hidden="1" x14ac:dyDescent="0.2">
      <c r="N643" s="178"/>
    </row>
    <row r="644" spans="14:14" hidden="1" x14ac:dyDescent="0.2">
      <c r="N644" s="178"/>
    </row>
    <row r="645" spans="14:14" hidden="1" x14ac:dyDescent="0.2">
      <c r="N645" s="178"/>
    </row>
    <row r="646" spans="14:14" hidden="1" x14ac:dyDescent="0.2">
      <c r="N646" s="178"/>
    </row>
    <row r="647" spans="14:14" hidden="1" x14ac:dyDescent="0.2">
      <c r="N647" s="178"/>
    </row>
    <row r="648" spans="14:14" hidden="1" x14ac:dyDescent="0.2">
      <c r="N648" s="178"/>
    </row>
    <row r="649" spans="14:14" hidden="1" x14ac:dyDescent="0.2">
      <c r="N649" s="178"/>
    </row>
    <row r="650" spans="14:14" hidden="1" x14ac:dyDescent="0.2">
      <c r="N650" s="178"/>
    </row>
    <row r="651" spans="14:14" hidden="1" x14ac:dyDescent="0.2">
      <c r="N651" s="178"/>
    </row>
    <row r="652" spans="14:14" hidden="1" x14ac:dyDescent="0.2">
      <c r="N652" s="178"/>
    </row>
    <row r="653" spans="14:14" hidden="1" x14ac:dyDescent="0.2">
      <c r="N653" s="178"/>
    </row>
    <row r="654" spans="14:14" hidden="1" x14ac:dyDescent="0.2">
      <c r="N654" s="178"/>
    </row>
    <row r="655" spans="14:14" hidden="1" x14ac:dyDescent="0.2">
      <c r="N655" s="178"/>
    </row>
    <row r="656" spans="14:14" hidden="1" x14ac:dyDescent="0.2">
      <c r="N656" s="178"/>
    </row>
    <row r="657" spans="14:14" hidden="1" x14ac:dyDescent="0.2">
      <c r="N657" s="178"/>
    </row>
    <row r="658" spans="14:14" hidden="1" x14ac:dyDescent="0.2">
      <c r="N658" s="178"/>
    </row>
    <row r="659" spans="14:14" hidden="1" x14ac:dyDescent="0.2">
      <c r="N659" s="178"/>
    </row>
    <row r="660" spans="14:14" hidden="1" x14ac:dyDescent="0.2">
      <c r="N660" s="178"/>
    </row>
    <row r="661" spans="14:14" hidden="1" x14ac:dyDescent="0.2">
      <c r="N661" s="178"/>
    </row>
    <row r="662" spans="14:14" hidden="1" x14ac:dyDescent="0.2">
      <c r="N662" s="178"/>
    </row>
    <row r="663" spans="14:14" hidden="1" x14ac:dyDescent="0.2">
      <c r="N663" s="178"/>
    </row>
    <row r="664" spans="14:14" hidden="1" x14ac:dyDescent="0.2">
      <c r="N664" s="178"/>
    </row>
    <row r="665" spans="14:14" hidden="1" x14ac:dyDescent="0.2">
      <c r="N665" s="178"/>
    </row>
    <row r="666" spans="14:14" hidden="1" x14ac:dyDescent="0.2">
      <c r="N666" s="178"/>
    </row>
    <row r="667" spans="14:14" hidden="1" x14ac:dyDescent="0.2">
      <c r="N667" s="178"/>
    </row>
    <row r="668" spans="14:14" hidden="1" x14ac:dyDescent="0.2">
      <c r="N668" s="178"/>
    </row>
    <row r="669" spans="14:14" hidden="1" x14ac:dyDescent="0.2">
      <c r="N669" s="178"/>
    </row>
    <row r="670" spans="14:14" hidden="1" x14ac:dyDescent="0.2">
      <c r="N670" s="178"/>
    </row>
    <row r="671" spans="14:14" hidden="1" x14ac:dyDescent="0.2">
      <c r="N671" s="178"/>
    </row>
    <row r="672" spans="14:14" hidden="1" x14ac:dyDescent="0.2">
      <c r="N672" s="178"/>
    </row>
    <row r="673" spans="14:14" hidden="1" x14ac:dyDescent="0.2">
      <c r="N673" s="178"/>
    </row>
    <row r="674" spans="14:14" hidden="1" x14ac:dyDescent="0.2">
      <c r="N674" s="178"/>
    </row>
    <row r="675" spans="14:14" hidden="1" x14ac:dyDescent="0.2">
      <c r="N675" s="178"/>
    </row>
    <row r="676" spans="14:14" hidden="1" x14ac:dyDescent="0.2">
      <c r="N676" s="178"/>
    </row>
    <row r="677" spans="14:14" hidden="1" x14ac:dyDescent="0.2">
      <c r="N677" s="178"/>
    </row>
    <row r="678" spans="14:14" hidden="1" x14ac:dyDescent="0.2">
      <c r="N678" s="178"/>
    </row>
    <row r="679" spans="14:14" hidden="1" x14ac:dyDescent="0.2">
      <c r="N679" s="178"/>
    </row>
    <row r="680" spans="14:14" hidden="1" x14ac:dyDescent="0.2">
      <c r="N680" s="178"/>
    </row>
    <row r="681" spans="14:14" hidden="1" x14ac:dyDescent="0.2">
      <c r="N681" s="178"/>
    </row>
    <row r="682" spans="14:14" hidden="1" x14ac:dyDescent="0.2">
      <c r="N682" s="178"/>
    </row>
    <row r="683" spans="14:14" hidden="1" x14ac:dyDescent="0.2">
      <c r="N683" s="178"/>
    </row>
    <row r="684" spans="14:14" hidden="1" x14ac:dyDescent="0.2">
      <c r="N684" s="178"/>
    </row>
    <row r="685" spans="14:14" hidden="1" x14ac:dyDescent="0.2">
      <c r="N685" s="178"/>
    </row>
    <row r="686" spans="14:14" hidden="1" x14ac:dyDescent="0.2">
      <c r="N686" s="178"/>
    </row>
    <row r="687" spans="14:14" hidden="1" x14ac:dyDescent="0.2">
      <c r="N687" s="178"/>
    </row>
    <row r="688" spans="14:14" hidden="1" x14ac:dyDescent="0.2">
      <c r="N688" s="178"/>
    </row>
    <row r="689" spans="14:14" hidden="1" x14ac:dyDescent="0.2">
      <c r="N689" s="178"/>
    </row>
    <row r="690" spans="14:14" hidden="1" x14ac:dyDescent="0.2">
      <c r="N690" s="178"/>
    </row>
    <row r="691" spans="14:14" hidden="1" x14ac:dyDescent="0.2">
      <c r="N691" s="178"/>
    </row>
    <row r="692" spans="14:14" hidden="1" x14ac:dyDescent="0.2">
      <c r="N692" s="178"/>
    </row>
    <row r="693" spans="14:14" hidden="1" x14ac:dyDescent="0.2">
      <c r="N693" s="178"/>
    </row>
    <row r="694" spans="14:14" hidden="1" x14ac:dyDescent="0.2">
      <c r="N694" s="178"/>
    </row>
    <row r="695" spans="14:14" hidden="1" x14ac:dyDescent="0.2">
      <c r="N695" s="178"/>
    </row>
    <row r="696" spans="14:14" hidden="1" x14ac:dyDescent="0.2">
      <c r="N696" s="178"/>
    </row>
    <row r="697" spans="14:14" hidden="1" x14ac:dyDescent="0.2">
      <c r="N697" s="178"/>
    </row>
    <row r="698" spans="14:14" hidden="1" x14ac:dyDescent="0.2">
      <c r="N698" s="178"/>
    </row>
    <row r="699" spans="14:14" hidden="1" x14ac:dyDescent="0.2">
      <c r="N699" s="178"/>
    </row>
    <row r="700" spans="14:14" hidden="1" x14ac:dyDescent="0.2">
      <c r="N700" s="178"/>
    </row>
    <row r="701" spans="14:14" hidden="1" x14ac:dyDescent="0.2">
      <c r="N701" s="178"/>
    </row>
    <row r="702" spans="14:14" hidden="1" x14ac:dyDescent="0.2">
      <c r="N702" s="178"/>
    </row>
    <row r="703" spans="14:14" hidden="1" x14ac:dyDescent="0.2">
      <c r="N703" s="178"/>
    </row>
    <row r="704" spans="14:14" hidden="1" x14ac:dyDescent="0.2">
      <c r="N704" s="178"/>
    </row>
    <row r="705" spans="14:14" hidden="1" x14ac:dyDescent="0.2">
      <c r="N705" s="178"/>
    </row>
    <row r="706" spans="14:14" hidden="1" x14ac:dyDescent="0.2">
      <c r="N706" s="178"/>
    </row>
    <row r="707" spans="14:14" hidden="1" x14ac:dyDescent="0.2">
      <c r="N707" s="178"/>
    </row>
    <row r="708" spans="14:14" hidden="1" x14ac:dyDescent="0.2">
      <c r="N708" s="178"/>
    </row>
    <row r="709" spans="14:14" hidden="1" x14ac:dyDescent="0.2">
      <c r="N709" s="178"/>
    </row>
    <row r="710" spans="14:14" hidden="1" x14ac:dyDescent="0.2">
      <c r="N710" s="178"/>
    </row>
    <row r="711" spans="14:14" hidden="1" x14ac:dyDescent="0.2">
      <c r="N711" s="178"/>
    </row>
    <row r="712" spans="14:14" hidden="1" x14ac:dyDescent="0.2">
      <c r="N712" s="178"/>
    </row>
    <row r="713" spans="14:14" hidden="1" x14ac:dyDescent="0.2">
      <c r="N713" s="178"/>
    </row>
    <row r="714" spans="14:14" hidden="1" x14ac:dyDescent="0.2">
      <c r="N714" s="178"/>
    </row>
    <row r="715" spans="14:14" hidden="1" x14ac:dyDescent="0.2">
      <c r="N715" s="178"/>
    </row>
    <row r="716" spans="14:14" hidden="1" x14ac:dyDescent="0.2">
      <c r="N716" s="178"/>
    </row>
    <row r="717" spans="14:14" hidden="1" x14ac:dyDescent="0.2">
      <c r="N717" s="178"/>
    </row>
    <row r="718" spans="14:14" hidden="1" x14ac:dyDescent="0.2">
      <c r="N718" s="178"/>
    </row>
    <row r="719" spans="14:14" hidden="1" x14ac:dyDescent="0.2">
      <c r="N719" s="178"/>
    </row>
    <row r="720" spans="14:14" hidden="1" x14ac:dyDescent="0.2">
      <c r="N720" s="178"/>
    </row>
    <row r="721" spans="14:14" hidden="1" x14ac:dyDescent="0.2">
      <c r="N721" s="178"/>
    </row>
    <row r="722" spans="14:14" hidden="1" x14ac:dyDescent="0.2">
      <c r="N722" s="178"/>
    </row>
    <row r="723" spans="14:14" hidden="1" x14ac:dyDescent="0.2">
      <c r="N723" s="178"/>
    </row>
    <row r="724" spans="14:14" hidden="1" x14ac:dyDescent="0.2">
      <c r="N724" s="178"/>
    </row>
    <row r="725" spans="14:14" hidden="1" x14ac:dyDescent="0.2">
      <c r="N725" s="178"/>
    </row>
    <row r="726" spans="14:14" hidden="1" x14ac:dyDescent="0.2">
      <c r="N726" s="178"/>
    </row>
    <row r="727" spans="14:14" hidden="1" x14ac:dyDescent="0.2">
      <c r="N727" s="178"/>
    </row>
    <row r="728" spans="14:14" hidden="1" x14ac:dyDescent="0.2">
      <c r="N728" s="178"/>
    </row>
    <row r="729" spans="14:14" hidden="1" x14ac:dyDescent="0.2">
      <c r="N729" s="178"/>
    </row>
    <row r="730" spans="14:14" hidden="1" x14ac:dyDescent="0.2">
      <c r="N730" s="178"/>
    </row>
    <row r="731" spans="14:14" hidden="1" x14ac:dyDescent="0.2">
      <c r="N731" s="178"/>
    </row>
    <row r="732" spans="14:14" hidden="1" x14ac:dyDescent="0.2">
      <c r="N732" s="178"/>
    </row>
    <row r="733" spans="14:14" hidden="1" x14ac:dyDescent="0.2">
      <c r="N733" s="178"/>
    </row>
    <row r="734" spans="14:14" hidden="1" x14ac:dyDescent="0.2">
      <c r="N734" s="178"/>
    </row>
    <row r="735" spans="14:14" hidden="1" x14ac:dyDescent="0.2">
      <c r="N735" s="178"/>
    </row>
    <row r="736" spans="14:14" hidden="1" x14ac:dyDescent="0.2">
      <c r="N736" s="178"/>
    </row>
    <row r="737" spans="14:14" hidden="1" x14ac:dyDescent="0.2">
      <c r="N737" s="178"/>
    </row>
    <row r="738" spans="14:14" hidden="1" x14ac:dyDescent="0.2">
      <c r="N738" s="178"/>
    </row>
    <row r="739" spans="14:14" hidden="1" x14ac:dyDescent="0.2">
      <c r="N739" s="178"/>
    </row>
    <row r="740" spans="14:14" hidden="1" x14ac:dyDescent="0.2">
      <c r="N740" s="178"/>
    </row>
    <row r="741" spans="14:14" hidden="1" x14ac:dyDescent="0.2">
      <c r="N741" s="178"/>
    </row>
    <row r="742" spans="14:14" hidden="1" x14ac:dyDescent="0.2">
      <c r="N742" s="178"/>
    </row>
    <row r="743" spans="14:14" hidden="1" x14ac:dyDescent="0.2">
      <c r="N743" s="178"/>
    </row>
    <row r="744" spans="14:14" hidden="1" x14ac:dyDescent="0.2">
      <c r="N744" s="178"/>
    </row>
    <row r="745" spans="14:14" hidden="1" x14ac:dyDescent="0.2">
      <c r="N745" s="178"/>
    </row>
    <row r="746" spans="14:14" hidden="1" x14ac:dyDescent="0.2">
      <c r="N746" s="178"/>
    </row>
    <row r="747" spans="14:14" hidden="1" x14ac:dyDescent="0.2">
      <c r="N747" s="178"/>
    </row>
    <row r="748" spans="14:14" hidden="1" x14ac:dyDescent="0.2">
      <c r="N748" s="178"/>
    </row>
    <row r="749" spans="14:14" hidden="1" x14ac:dyDescent="0.2">
      <c r="N749" s="178"/>
    </row>
    <row r="750" spans="14:14" hidden="1" x14ac:dyDescent="0.2">
      <c r="N750" s="178"/>
    </row>
    <row r="751" spans="14:14" hidden="1" x14ac:dyDescent="0.2">
      <c r="N751" s="178"/>
    </row>
    <row r="752" spans="14:14" hidden="1" x14ac:dyDescent="0.2">
      <c r="N752" s="178"/>
    </row>
    <row r="753" spans="14:14" hidden="1" x14ac:dyDescent="0.2">
      <c r="N753" s="178"/>
    </row>
    <row r="754" spans="14:14" hidden="1" x14ac:dyDescent="0.2">
      <c r="N754" s="178"/>
    </row>
    <row r="755" spans="14:14" hidden="1" x14ac:dyDescent="0.2">
      <c r="N755" s="178"/>
    </row>
    <row r="756" spans="14:14" hidden="1" x14ac:dyDescent="0.2">
      <c r="N756" s="178"/>
    </row>
    <row r="757" spans="14:14" hidden="1" x14ac:dyDescent="0.2">
      <c r="N757" s="178"/>
    </row>
    <row r="758" spans="14:14" hidden="1" x14ac:dyDescent="0.2">
      <c r="N758" s="178"/>
    </row>
    <row r="759" spans="14:14" hidden="1" x14ac:dyDescent="0.2">
      <c r="N759" s="178"/>
    </row>
    <row r="760" spans="14:14" hidden="1" x14ac:dyDescent="0.2">
      <c r="N760" s="178"/>
    </row>
    <row r="761" spans="14:14" hidden="1" x14ac:dyDescent="0.2">
      <c r="N761" s="178"/>
    </row>
    <row r="762" spans="14:14" hidden="1" x14ac:dyDescent="0.2">
      <c r="N762" s="178"/>
    </row>
    <row r="763" spans="14:14" hidden="1" x14ac:dyDescent="0.2">
      <c r="N763" s="178"/>
    </row>
    <row r="764" spans="14:14" hidden="1" x14ac:dyDescent="0.2">
      <c r="N764" s="178"/>
    </row>
    <row r="765" spans="14:14" hidden="1" x14ac:dyDescent="0.2">
      <c r="N765" s="178"/>
    </row>
    <row r="766" spans="14:14" hidden="1" x14ac:dyDescent="0.2">
      <c r="N766" s="178"/>
    </row>
    <row r="767" spans="14:14" hidden="1" x14ac:dyDescent="0.2">
      <c r="N767" s="178"/>
    </row>
    <row r="768" spans="14:14" hidden="1" x14ac:dyDescent="0.2">
      <c r="N768" s="178"/>
    </row>
    <row r="769" spans="14:14" hidden="1" x14ac:dyDescent="0.2">
      <c r="N769" s="178"/>
    </row>
    <row r="770" spans="14:14" hidden="1" x14ac:dyDescent="0.2">
      <c r="N770" s="178"/>
    </row>
    <row r="771" spans="14:14" hidden="1" x14ac:dyDescent="0.2">
      <c r="N771" s="178"/>
    </row>
    <row r="772" spans="14:14" hidden="1" x14ac:dyDescent="0.2">
      <c r="N772" s="178"/>
    </row>
    <row r="773" spans="14:14" hidden="1" x14ac:dyDescent="0.2">
      <c r="N773" s="178"/>
    </row>
    <row r="774" spans="14:14" hidden="1" x14ac:dyDescent="0.2">
      <c r="N774" s="178"/>
    </row>
    <row r="775" spans="14:14" hidden="1" x14ac:dyDescent="0.2">
      <c r="N775" s="178"/>
    </row>
    <row r="776" spans="14:14" hidden="1" x14ac:dyDescent="0.2">
      <c r="N776" s="178"/>
    </row>
    <row r="777" spans="14:14" hidden="1" x14ac:dyDescent="0.2">
      <c r="N777" s="178"/>
    </row>
    <row r="778" spans="14:14" hidden="1" x14ac:dyDescent="0.2">
      <c r="N778" s="178"/>
    </row>
    <row r="779" spans="14:14" hidden="1" x14ac:dyDescent="0.2">
      <c r="N779" s="178"/>
    </row>
    <row r="780" spans="14:14" hidden="1" x14ac:dyDescent="0.2">
      <c r="N780" s="178"/>
    </row>
    <row r="781" spans="14:14" hidden="1" x14ac:dyDescent="0.2">
      <c r="N781" s="178"/>
    </row>
    <row r="782" spans="14:14" hidden="1" x14ac:dyDescent="0.2">
      <c r="N782" s="178"/>
    </row>
    <row r="783" spans="14:14" hidden="1" x14ac:dyDescent="0.2">
      <c r="N783" s="178"/>
    </row>
    <row r="784" spans="14:14" hidden="1" x14ac:dyDescent="0.2">
      <c r="N784" s="178"/>
    </row>
    <row r="785" spans="14:14" hidden="1" x14ac:dyDescent="0.2">
      <c r="N785" s="178"/>
    </row>
    <row r="786" spans="14:14" hidden="1" x14ac:dyDescent="0.2">
      <c r="N786" s="178"/>
    </row>
    <row r="787" spans="14:14" hidden="1" x14ac:dyDescent="0.2">
      <c r="N787" s="178"/>
    </row>
    <row r="788" spans="14:14" hidden="1" x14ac:dyDescent="0.2">
      <c r="N788" s="178"/>
    </row>
    <row r="789" spans="14:14" hidden="1" x14ac:dyDescent="0.2">
      <c r="N789" s="178"/>
    </row>
    <row r="790" spans="14:14" hidden="1" x14ac:dyDescent="0.2">
      <c r="N790" s="178"/>
    </row>
    <row r="791" spans="14:14" hidden="1" x14ac:dyDescent="0.2">
      <c r="N791" s="178"/>
    </row>
    <row r="792" spans="14:14" hidden="1" x14ac:dyDescent="0.2">
      <c r="N792" s="178"/>
    </row>
    <row r="793" spans="14:14" hidden="1" x14ac:dyDescent="0.2">
      <c r="N793" s="178"/>
    </row>
    <row r="794" spans="14:14" hidden="1" x14ac:dyDescent="0.2">
      <c r="N794" s="178"/>
    </row>
    <row r="795" spans="14:14" hidden="1" x14ac:dyDescent="0.2">
      <c r="N795" s="178"/>
    </row>
    <row r="796" spans="14:14" hidden="1" x14ac:dyDescent="0.2">
      <c r="N796" s="178"/>
    </row>
    <row r="797" spans="14:14" hidden="1" x14ac:dyDescent="0.2">
      <c r="N797" s="178"/>
    </row>
    <row r="798" spans="14:14" hidden="1" x14ac:dyDescent="0.2">
      <c r="N798" s="178"/>
    </row>
    <row r="799" spans="14:14" hidden="1" x14ac:dyDescent="0.2">
      <c r="N799" s="178"/>
    </row>
    <row r="800" spans="14:14" hidden="1" x14ac:dyDescent="0.2">
      <c r="N800" s="178"/>
    </row>
    <row r="801" spans="14:14" hidden="1" x14ac:dyDescent="0.2">
      <c r="N801" s="178"/>
    </row>
    <row r="802" spans="14:14" hidden="1" x14ac:dyDescent="0.2">
      <c r="N802" s="178"/>
    </row>
    <row r="803" spans="14:14" hidden="1" x14ac:dyDescent="0.2">
      <c r="N803" s="178"/>
    </row>
    <row r="804" spans="14:14" hidden="1" x14ac:dyDescent="0.2">
      <c r="N804" s="178"/>
    </row>
    <row r="805" spans="14:14" hidden="1" x14ac:dyDescent="0.2">
      <c r="N805" s="178"/>
    </row>
    <row r="806" spans="14:14" hidden="1" x14ac:dyDescent="0.2">
      <c r="N806" s="178"/>
    </row>
    <row r="807" spans="14:14" hidden="1" x14ac:dyDescent="0.2">
      <c r="N807" s="178"/>
    </row>
    <row r="808" spans="14:14" hidden="1" x14ac:dyDescent="0.2">
      <c r="N808" s="178"/>
    </row>
    <row r="809" spans="14:14" hidden="1" x14ac:dyDescent="0.2">
      <c r="N809" s="178"/>
    </row>
    <row r="810" spans="14:14" hidden="1" x14ac:dyDescent="0.2">
      <c r="N810" s="178"/>
    </row>
    <row r="811" spans="14:14" hidden="1" x14ac:dyDescent="0.2">
      <c r="N811" s="178"/>
    </row>
    <row r="812" spans="14:14" hidden="1" x14ac:dyDescent="0.2">
      <c r="N812" s="178"/>
    </row>
    <row r="813" spans="14:14" hidden="1" x14ac:dyDescent="0.2">
      <c r="N813" s="178"/>
    </row>
    <row r="814" spans="14:14" hidden="1" x14ac:dyDescent="0.2">
      <c r="N814" s="178"/>
    </row>
    <row r="815" spans="14:14" hidden="1" x14ac:dyDescent="0.2">
      <c r="N815" s="178"/>
    </row>
    <row r="816" spans="14:14" hidden="1" x14ac:dyDescent="0.2">
      <c r="N816" s="178"/>
    </row>
    <row r="817" spans="14:14" hidden="1" x14ac:dyDescent="0.2">
      <c r="N817" s="178"/>
    </row>
    <row r="818" spans="14:14" hidden="1" x14ac:dyDescent="0.2">
      <c r="N818" s="178"/>
    </row>
    <row r="819" spans="14:14" hidden="1" x14ac:dyDescent="0.2">
      <c r="N819" s="178"/>
    </row>
    <row r="820" spans="14:14" hidden="1" x14ac:dyDescent="0.2">
      <c r="N820" s="178"/>
    </row>
    <row r="821" spans="14:14" hidden="1" x14ac:dyDescent="0.2">
      <c r="N821" s="178"/>
    </row>
    <row r="822" spans="14:14" hidden="1" x14ac:dyDescent="0.2">
      <c r="N822" s="178"/>
    </row>
    <row r="823" spans="14:14" hidden="1" x14ac:dyDescent="0.2">
      <c r="N823" s="178"/>
    </row>
    <row r="824" spans="14:14" hidden="1" x14ac:dyDescent="0.2">
      <c r="N824" s="178"/>
    </row>
    <row r="825" spans="14:14" hidden="1" x14ac:dyDescent="0.2">
      <c r="N825" s="178"/>
    </row>
    <row r="826" spans="14:14" hidden="1" x14ac:dyDescent="0.2">
      <c r="N826" s="178"/>
    </row>
    <row r="827" spans="14:14" hidden="1" x14ac:dyDescent="0.2">
      <c r="N827" s="178"/>
    </row>
    <row r="828" spans="14:14" hidden="1" x14ac:dyDescent="0.2">
      <c r="N828" s="178"/>
    </row>
    <row r="829" spans="14:14" hidden="1" x14ac:dyDescent="0.2">
      <c r="N829" s="178"/>
    </row>
    <row r="830" spans="14:14" hidden="1" x14ac:dyDescent="0.2">
      <c r="N830" s="178"/>
    </row>
    <row r="831" spans="14:14" hidden="1" x14ac:dyDescent="0.2">
      <c r="N831" s="178"/>
    </row>
    <row r="832" spans="14:14" hidden="1" x14ac:dyDescent="0.2">
      <c r="N832" s="178"/>
    </row>
    <row r="833" spans="14:14" hidden="1" x14ac:dyDescent="0.2">
      <c r="N833" s="178"/>
    </row>
    <row r="834" spans="14:14" hidden="1" x14ac:dyDescent="0.2">
      <c r="N834" s="178"/>
    </row>
    <row r="835" spans="14:14" hidden="1" x14ac:dyDescent="0.2">
      <c r="N835" s="178"/>
    </row>
    <row r="836" spans="14:14" hidden="1" x14ac:dyDescent="0.2">
      <c r="N836" s="178"/>
    </row>
    <row r="837" spans="14:14" hidden="1" x14ac:dyDescent="0.2">
      <c r="N837" s="178"/>
    </row>
    <row r="838" spans="14:14" hidden="1" x14ac:dyDescent="0.2">
      <c r="N838" s="178"/>
    </row>
    <row r="839" spans="14:14" hidden="1" x14ac:dyDescent="0.2">
      <c r="N839" s="178"/>
    </row>
    <row r="840" spans="14:14" hidden="1" x14ac:dyDescent="0.2">
      <c r="N840" s="178"/>
    </row>
    <row r="841" spans="14:14" hidden="1" x14ac:dyDescent="0.2">
      <c r="N841" s="178"/>
    </row>
    <row r="842" spans="14:14" hidden="1" x14ac:dyDescent="0.2">
      <c r="N842" s="178"/>
    </row>
    <row r="843" spans="14:14" hidden="1" x14ac:dyDescent="0.2">
      <c r="N843" s="178"/>
    </row>
    <row r="844" spans="14:14" hidden="1" x14ac:dyDescent="0.2">
      <c r="N844" s="178"/>
    </row>
    <row r="845" spans="14:14" hidden="1" x14ac:dyDescent="0.2">
      <c r="N845" s="178"/>
    </row>
    <row r="846" spans="14:14" hidden="1" x14ac:dyDescent="0.2">
      <c r="N846" s="178"/>
    </row>
    <row r="847" spans="14:14" hidden="1" x14ac:dyDescent="0.2">
      <c r="N847" s="178"/>
    </row>
    <row r="848" spans="14:14" hidden="1" x14ac:dyDescent="0.2">
      <c r="N848" s="178"/>
    </row>
    <row r="849" spans="14:14" hidden="1" x14ac:dyDescent="0.2">
      <c r="N849" s="178"/>
    </row>
    <row r="850" spans="14:14" hidden="1" x14ac:dyDescent="0.2">
      <c r="N850" s="178"/>
    </row>
    <row r="851" spans="14:14" hidden="1" x14ac:dyDescent="0.2">
      <c r="N851" s="178"/>
    </row>
    <row r="852" spans="14:14" hidden="1" x14ac:dyDescent="0.2">
      <c r="N852" s="178"/>
    </row>
    <row r="853" spans="14:14" hidden="1" x14ac:dyDescent="0.2">
      <c r="N853" s="178"/>
    </row>
    <row r="854" spans="14:14" hidden="1" x14ac:dyDescent="0.2">
      <c r="N854" s="178"/>
    </row>
    <row r="855" spans="14:14" hidden="1" x14ac:dyDescent="0.2">
      <c r="N855" s="178"/>
    </row>
    <row r="856" spans="14:14" hidden="1" x14ac:dyDescent="0.2">
      <c r="N856" s="178"/>
    </row>
    <row r="857" spans="14:14" hidden="1" x14ac:dyDescent="0.2">
      <c r="N857" s="178"/>
    </row>
    <row r="858" spans="14:14" hidden="1" x14ac:dyDescent="0.2">
      <c r="N858" s="178"/>
    </row>
    <row r="859" spans="14:14" hidden="1" x14ac:dyDescent="0.2">
      <c r="N859" s="178"/>
    </row>
    <row r="860" spans="14:14" hidden="1" x14ac:dyDescent="0.2">
      <c r="N860" s="178"/>
    </row>
    <row r="861" spans="14:14" hidden="1" x14ac:dyDescent="0.2">
      <c r="N861" s="178"/>
    </row>
    <row r="862" spans="14:14" hidden="1" x14ac:dyDescent="0.2">
      <c r="N862" s="178"/>
    </row>
    <row r="863" spans="14:14" hidden="1" x14ac:dyDescent="0.2">
      <c r="N863" s="178"/>
    </row>
    <row r="864" spans="14:14" hidden="1" x14ac:dyDescent="0.2">
      <c r="N864" s="178"/>
    </row>
    <row r="865" spans="14:14" hidden="1" x14ac:dyDescent="0.2">
      <c r="N865" s="178"/>
    </row>
    <row r="866" spans="14:14" hidden="1" x14ac:dyDescent="0.2">
      <c r="N866" s="178"/>
    </row>
    <row r="867" spans="14:14" hidden="1" x14ac:dyDescent="0.2">
      <c r="N867" s="178"/>
    </row>
    <row r="868" spans="14:14" hidden="1" x14ac:dyDescent="0.2">
      <c r="N868" s="178"/>
    </row>
    <row r="869" spans="14:14" hidden="1" x14ac:dyDescent="0.2">
      <c r="N869" s="178"/>
    </row>
    <row r="870" spans="14:14" hidden="1" x14ac:dyDescent="0.2">
      <c r="N870" s="178"/>
    </row>
    <row r="871" spans="14:14" hidden="1" x14ac:dyDescent="0.2">
      <c r="N871" s="178"/>
    </row>
    <row r="872" spans="14:14" hidden="1" x14ac:dyDescent="0.2">
      <c r="N872" s="178"/>
    </row>
    <row r="873" spans="14:14" hidden="1" x14ac:dyDescent="0.2">
      <c r="N873" s="178"/>
    </row>
    <row r="874" spans="14:14" hidden="1" x14ac:dyDescent="0.2">
      <c r="N874" s="178"/>
    </row>
    <row r="875" spans="14:14" hidden="1" x14ac:dyDescent="0.2">
      <c r="N875" s="178"/>
    </row>
    <row r="876" spans="14:14" hidden="1" x14ac:dyDescent="0.2">
      <c r="N876" s="178"/>
    </row>
    <row r="877" spans="14:14" hidden="1" x14ac:dyDescent="0.2">
      <c r="N877" s="178"/>
    </row>
    <row r="878" spans="14:14" hidden="1" x14ac:dyDescent="0.2">
      <c r="N878" s="178"/>
    </row>
    <row r="879" spans="14:14" hidden="1" x14ac:dyDescent="0.2">
      <c r="N879" s="178"/>
    </row>
    <row r="880" spans="14:14" hidden="1" x14ac:dyDescent="0.2">
      <c r="N880" s="178"/>
    </row>
    <row r="881" spans="14:14" hidden="1" x14ac:dyDescent="0.2">
      <c r="N881" s="178"/>
    </row>
    <row r="882" spans="14:14" hidden="1" x14ac:dyDescent="0.2">
      <c r="N882" s="178"/>
    </row>
    <row r="883" spans="14:14" hidden="1" x14ac:dyDescent="0.2">
      <c r="N883" s="178"/>
    </row>
    <row r="884" spans="14:14" hidden="1" x14ac:dyDescent="0.2">
      <c r="N884" s="178"/>
    </row>
    <row r="885" spans="14:14" hidden="1" x14ac:dyDescent="0.2">
      <c r="N885" s="178"/>
    </row>
    <row r="886" spans="14:14" hidden="1" x14ac:dyDescent="0.2">
      <c r="N886" s="178"/>
    </row>
    <row r="887" spans="14:14" hidden="1" x14ac:dyDescent="0.2">
      <c r="N887" s="178"/>
    </row>
    <row r="888" spans="14:14" hidden="1" x14ac:dyDescent="0.2">
      <c r="N888" s="178"/>
    </row>
    <row r="889" spans="14:14" hidden="1" x14ac:dyDescent="0.2">
      <c r="N889" s="178"/>
    </row>
    <row r="890" spans="14:14" hidden="1" x14ac:dyDescent="0.2">
      <c r="N890" s="178"/>
    </row>
    <row r="891" spans="14:14" hidden="1" x14ac:dyDescent="0.2">
      <c r="N891" s="178"/>
    </row>
    <row r="892" spans="14:14" hidden="1" x14ac:dyDescent="0.2">
      <c r="N892" s="178"/>
    </row>
    <row r="893" spans="14:14" hidden="1" x14ac:dyDescent="0.2">
      <c r="N893" s="178"/>
    </row>
    <row r="894" spans="14:14" hidden="1" x14ac:dyDescent="0.2">
      <c r="N894" s="178"/>
    </row>
    <row r="895" spans="14:14" hidden="1" x14ac:dyDescent="0.2">
      <c r="N895" s="178"/>
    </row>
    <row r="896" spans="14:14" hidden="1" x14ac:dyDescent="0.2">
      <c r="N896" s="178"/>
    </row>
    <row r="897" spans="14:14" hidden="1" x14ac:dyDescent="0.2">
      <c r="N897" s="178"/>
    </row>
    <row r="898" spans="14:14" hidden="1" x14ac:dyDescent="0.2">
      <c r="N898" s="178"/>
    </row>
    <row r="899" spans="14:14" hidden="1" x14ac:dyDescent="0.2">
      <c r="N899" s="178"/>
    </row>
    <row r="900" spans="14:14" hidden="1" x14ac:dyDescent="0.2">
      <c r="N900" s="178"/>
    </row>
    <row r="901" spans="14:14" hidden="1" x14ac:dyDescent="0.2">
      <c r="N901" s="178"/>
    </row>
    <row r="902" spans="14:14" hidden="1" x14ac:dyDescent="0.2">
      <c r="N902" s="178"/>
    </row>
    <row r="903" spans="14:14" hidden="1" x14ac:dyDescent="0.2">
      <c r="N903" s="178"/>
    </row>
    <row r="904" spans="14:14" hidden="1" x14ac:dyDescent="0.2">
      <c r="N904" s="178"/>
    </row>
    <row r="905" spans="14:14" hidden="1" x14ac:dyDescent="0.2">
      <c r="N905" s="178"/>
    </row>
    <row r="906" spans="14:14" hidden="1" x14ac:dyDescent="0.2">
      <c r="N906" s="178"/>
    </row>
    <row r="907" spans="14:14" hidden="1" x14ac:dyDescent="0.2">
      <c r="N907" s="178"/>
    </row>
    <row r="908" spans="14:14" hidden="1" x14ac:dyDescent="0.2">
      <c r="N908" s="178"/>
    </row>
    <row r="909" spans="14:14" hidden="1" x14ac:dyDescent="0.2">
      <c r="N909" s="178"/>
    </row>
    <row r="910" spans="14:14" hidden="1" x14ac:dyDescent="0.2">
      <c r="N910" s="178"/>
    </row>
    <row r="911" spans="14:14" hidden="1" x14ac:dyDescent="0.2">
      <c r="N911" s="178"/>
    </row>
    <row r="912" spans="14:14" hidden="1" x14ac:dyDescent="0.2">
      <c r="N912" s="178"/>
    </row>
    <row r="913" spans="14:14" hidden="1" x14ac:dyDescent="0.2">
      <c r="N913" s="178"/>
    </row>
    <row r="914" spans="14:14" hidden="1" x14ac:dyDescent="0.2">
      <c r="N914" s="178"/>
    </row>
    <row r="915" spans="14:14" hidden="1" x14ac:dyDescent="0.2">
      <c r="N915" s="178"/>
    </row>
    <row r="916" spans="14:14" hidden="1" x14ac:dyDescent="0.2">
      <c r="N916" s="178"/>
    </row>
    <row r="917" spans="14:14" hidden="1" x14ac:dyDescent="0.2">
      <c r="N917" s="178"/>
    </row>
    <row r="918" spans="14:14" hidden="1" x14ac:dyDescent="0.2">
      <c r="N918" s="178"/>
    </row>
    <row r="919" spans="14:14" hidden="1" x14ac:dyDescent="0.2">
      <c r="N919" s="178"/>
    </row>
    <row r="920" spans="14:14" hidden="1" x14ac:dyDescent="0.2">
      <c r="N920" s="178"/>
    </row>
    <row r="921" spans="14:14" hidden="1" x14ac:dyDescent="0.2">
      <c r="N921" s="178"/>
    </row>
    <row r="922" spans="14:14" hidden="1" x14ac:dyDescent="0.2">
      <c r="N922" s="178"/>
    </row>
    <row r="923" spans="14:14" hidden="1" x14ac:dyDescent="0.2">
      <c r="N923" s="178"/>
    </row>
    <row r="924" spans="14:14" hidden="1" x14ac:dyDescent="0.2">
      <c r="N924" s="178"/>
    </row>
    <row r="925" spans="14:14" hidden="1" x14ac:dyDescent="0.2">
      <c r="N925" s="178"/>
    </row>
    <row r="926" spans="14:14" hidden="1" x14ac:dyDescent="0.2">
      <c r="N926" s="178"/>
    </row>
    <row r="927" spans="14:14" hidden="1" x14ac:dyDescent="0.2">
      <c r="N927" s="178"/>
    </row>
    <row r="928" spans="14:14" hidden="1" x14ac:dyDescent="0.2">
      <c r="N928" s="178"/>
    </row>
    <row r="929" spans="14:14" hidden="1" x14ac:dyDescent="0.2">
      <c r="N929" s="178"/>
    </row>
    <row r="930" spans="14:14" hidden="1" x14ac:dyDescent="0.2">
      <c r="N930" s="178"/>
    </row>
    <row r="931" spans="14:14" hidden="1" x14ac:dyDescent="0.2">
      <c r="N931" s="178"/>
    </row>
    <row r="932" spans="14:14" hidden="1" x14ac:dyDescent="0.2">
      <c r="N932" s="178"/>
    </row>
    <row r="933" spans="14:14" hidden="1" x14ac:dyDescent="0.2">
      <c r="N933" s="178"/>
    </row>
    <row r="934" spans="14:14" hidden="1" x14ac:dyDescent="0.2">
      <c r="N934" s="178"/>
    </row>
    <row r="935" spans="14:14" hidden="1" x14ac:dyDescent="0.2">
      <c r="N935" s="178"/>
    </row>
    <row r="936" spans="14:14" hidden="1" x14ac:dyDescent="0.2">
      <c r="N936" s="178"/>
    </row>
    <row r="937" spans="14:14" hidden="1" x14ac:dyDescent="0.2">
      <c r="N937" s="178"/>
    </row>
    <row r="938" spans="14:14" hidden="1" x14ac:dyDescent="0.2">
      <c r="N938" s="178"/>
    </row>
    <row r="939" spans="14:14" hidden="1" x14ac:dyDescent="0.2">
      <c r="N939" s="178"/>
    </row>
    <row r="940" spans="14:14" hidden="1" x14ac:dyDescent="0.2">
      <c r="N940" s="178"/>
    </row>
    <row r="941" spans="14:14" hidden="1" x14ac:dyDescent="0.2">
      <c r="N941" s="178"/>
    </row>
    <row r="942" spans="14:14" hidden="1" x14ac:dyDescent="0.2">
      <c r="N942" s="178"/>
    </row>
    <row r="943" spans="14:14" hidden="1" x14ac:dyDescent="0.2">
      <c r="N943" s="178"/>
    </row>
    <row r="944" spans="14:14" hidden="1" x14ac:dyDescent="0.2">
      <c r="N944" s="178"/>
    </row>
    <row r="945" spans="14:14" hidden="1" x14ac:dyDescent="0.2">
      <c r="N945" s="178"/>
    </row>
    <row r="946" spans="14:14" hidden="1" x14ac:dyDescent="0.2">
      <c r="N946" s="178"/>
    </row>
    <row r="947" spans="14:14" hidden="1" x14ac:dyDescent="0.2">
      <c r="N947" s="178"/>
    </row>
    <row r="948" spans="14:14" hidden="1" x14ac:dyDescent="0.2">
      <c r="N948" s="178"/>
    </row>
    <row r="949" spans="14:14" hidden="1" x14ac:dyDescent="0.2">
      <c r="N949" s="178"/>
    </row>
    <row r="950" spans="14:14" hidden="1" x14ac:dyDescent="0.2">
      <c r="N950" s="178"/>
    </row>
    <row r="951" spans="14:14" hidden="1" x14ac:dyDescent="0.2">
      <c r="N951" s="178"/>
    </row>
    <row r="952" spans="14:14" hidden="1" x14ac:dyDescent="0.2">
      <c r="N952" s="178"/>
    </row>
    <row r="953" spans="14:14" hidden="1" x14ac:dyDescent="0.2">
      <c r="N953" s="178"/>
    </row>
    <row r="954" spans="14:14" hidden="1" x14ac:dyDescent="0.2">
      <c r="N954" s="178"/>
    </row>
    <row r="955" spans="14:14" hidden="1" x14ac:dyDescent="0.2">
      <c r="N955" s="178"/>
    </row>
    <row r="956" spans="14:14" hidden="1" x14ac:dyDescent="0.2">
      <c r="N956" s="178"/>
    </row>
    <row r="957" spans="14:14" hidden="1" x14ac:dyDescent="0.2">
      <c r="N957" s="178"/>
    </row>
    <row r="958" spans="14:14" hidden="1" x14ac:dyDescent="0.2">
      <c r="N958" s="178"/>
    </row>
    <row r="959" spans="14:14" hidden="1" x14ac:dyDescent="0.2">
      <c r="N959" s="178"/>
    </row>
    <row r="960" spans="14:14" hidden="1" x14ac:dyDescent="0.2">
      <c r="N960" s="178"/>
    </row>
    <row r="961" spans="14:14" hidden="1" x14ac:dyDescent="0.2">
      <c r="N961" s="178"/>
    </row>
    <row r="962" spans="14:14" hidden="1" x14ac:dyDescent="0.2">
      <c r="N962" s="178"/>
    </row>
    <row r="963" spans="14:14" hidden="1" x14ac:dyDescent="0.2">
      <c r="N963" s="178"/>
    </row>
    <row r="964" spans="14:14" hidden="1" x14ac:dyDescent="0.2">
      <c r="N964" s="178"/>
    </row>
    <row r="965" spans="14:14" hidden="1" x14ac:dyDescent="0.2">
      <c r="N965" s="178"/>
    </row>
    <row r="966" spans="14:14" hidden="1" x14ac:dyDescent="0.2">
      <c r="N966" s="178"/>
    </row>
    <row r="967" spans="14:14" hidden="1" x14ac:dyDescent="0.2">
      <c r="N967" s="178"/>
    </row>
    <row r="968" spans="14:14" hidden="1" x14ac:dyDescent="0.2">
      <c r="N968" s="178"/>
    </row>
    <row r="969" spans="14:14" hidden="1" x14ac:dyDescent="0.2">
      <c r="N969" s="178"/>
    </row>
    <row r="970" spans="14:14" hidden="1" x14ac:dyDescent="0.2">
      <c r="N970" s="178"/>
    </row>
    <row r="971" spans="14:14" hidden="1" x14ac:dyDescent="0.2">
      <c r="N971" s="178"/>
    </row>
    <row r="972" spans="14:14" hidden="1" x14ac:dyDescent="0.2">
      <c r="N972" s="178"/>
    </row>
    <row r="973" spans="14:14" hidden="1" x14ac:dyDescent="0.2">
      <c r="N973" s="178"/>
    </row>
    <row r="974" spans="14:14" hidden="1" x14ac:dyDescent="0.2">
      <c r="N974" s="178"/>
    </row>
    <row r="975" spans="14:14" hidden="1" x14ac:dyDescent="0.2">
      <c r="N975" s="178"/>
    </row>
    <row r="976" spans="14:14" hidden="1" x14ac:dyDescent="0.2">
      <c r="N976" s="178"/>
    </row>
    <row r="977" spans="14:14" hidden="1" x14ac:dyDescent="0.2">
      <c r="N977" s="178"/>
    </row>
    <row r="978" spans="14:14" hidden="1" x14ac:dyDescent="0.2">
      <c r="N978" s="178"/>
    </row>
    <row r="979" spans="14:14" hidden="1" x14ac:dyDescent="0.2">
      <c r="N979" s="178"/>
    </row>
    <row r="980" spans="14:14" hidden="1" x14ac:dyDescent="0.2">
      <c r="N980" s="178"/>
    </row>
    <row r="981" spans="14:14" hidden="1" x14ac:dyDescent="0.2">
      <c r="N981" s="178"/>
    </row>
    <row r="982" spans="14:14" hidden="1" x14ac:dyDescent="0.2">
      <c r="N982" s="178"/>
    </row>
    <row r="983" spans="14:14" hidden="1" x14ac:dyDescent="0.2">
      <c r="N983" s="178"/>
    </row>
    <row r="984" spans="14:14" hidden="1" x14ac:dyDescent="0.2">
      <c r="N984" s="178"/>
    </row>
    <row r="985" spans="14:14" hidden="1" x14ac:dyDescent="0.2">
      <c r="N985" s="178"/>
    </row>
    <row r="986" spans="14:14" hidden="1" x14ac:dyDescent="0.2">
      <c r="N986" s="178"/>
    </row>
    <row r="987" spans="14:14" hidden="1" x14ac:dyDescent="0.2">
      <c r="N987" s="178"/>
    </row>
    <row r="988" spans="14:14" hidden="1" x14ac:dyDescent="0.2">
      <c r="N988" s="178"/>
    </row>
    <row r="989" spans="14:14" hidden="1" x14ac:dyDescent="0.2">
      <c r="N989" s="178"/>
    </row>
    <row r="990" spans="14:14" hidden="1" x14ac:dyDescent="0.2">
      <c r="N990" s="178"/>
    </row>
    <row r="991" spans="14:14" hidden="1" x14ac:dyDescent="0.2">
      <c r="N991" s="178"/>
    </row>
    <row r="992" spans="14:14" hidden="1" x14ac:dyDescent="0.2">
      <c r="N992" s="178"/>
    </row>
    <row r="993" spans="14:14" hidden="1" x14ac:dyDescent="0.2">
      <c r="N993" s="178"/>
    </row>
    <row r="994" spans="14:14" hidden="1" x14ac:dyDescent="0.2">
      <c r="N994" s="178"/>
    </row>
    <row r="995" spans="14:14" hidden="1" x14ac:dyDescent="0.2">
      <c r="N995" s="178"/>
    </row>
    <row r="996" spans="14:14" hidden="1" x14ac:dyDescent="0.2">
      <c r="N996" s="178"/>
    </row>
    <row r="997" spans="14:14" hidden="1" x14ac:dyDescent="0.2">
      <c r="N997" s="178"/>
    </row>
    <row r="998" spans="14:14" hidden="1" x14ac:dyDescent="0.2">
      <c r="N998" s="178"/>
    </row>
    <row r="999" spans="14:14" hidden="1" x14ac:dyDescent="0.2">
      <c r="N999" s="178"/>
    </row>
    <row r="1000" spans="14:14" hidden="1" x14ac:dyDescent="0.2">
      <c r="N1000" s="178"/>
    </row>
    <row r="1001" spans="14:14" hidden="1" x14ac:dyDescent="0.2">
      <c r="N1001" s="178"/>
    </row>
    <row r="1002" spans="14:14" hidden="1" x14ac:dyDescent="0.2">
      <c r="N1002" s="178"/>
    </row>
    <row r="1003" spans="14:14" hidden="1" x14ac:dyDescent="0.2">
      <c r="N1003" s="178"/>
    </row>
    <row r="1004" spans="14:14" hidden="1" x14ac:dyDescent="0.2">
      <c r="N1004" s="178"/>
    </row>
    <row r="1005" spans="14:14" hidden="1" x14ac:dyDescent="0.2">
      <c r="N1005" s="178"/>
    </row>
    <row r="1006" spans="14:14" hidden="1" x14ac:dyDescent="0.2">
      <c r="N1006" s="178"/>
    </row>
    <row r="1007" spans="14:14" hidden="1" x14ac:dyDescent="0.2">
      <c r="N1007" s="178"/>
    </row>
    <row r="1008" spans="14:14" hidden="1" x14ac:dyDescent="0.2">
      <c r="N1008" s="178"/>
    </row>
    <row r="1009" spans="14:14" hidden="1" x14ac:dyDescent="0.2">
      <c r="N1009" s="178"/>
    </row>
    <row r="1010" spans="14:14" hidden="1" x14ac:dyDescent="0.2">
      <c r="N1010" s="178"/>
    </row>
    <row r="1011" spans="14:14" hidden="1" x14ac:dyDescent="0.2">
      <c r="N1011" s="178"/>
    </row>
    <row r="1012" spans="14:14" hidden="1" x14ac:dyDescent="0.2">
      <c r="N1012" s="178"/>
    </row>
    <row r="1013" spans="14:14" hidden="1" x14ac:dyDescent="0.2">
      <c r="N1013" s="178"/>
    </row>
    <row r="1014" spans="14:14" hidden="1" x14ac:dyDescent="0.2">
      <c r="N1014" s="178"/>
    </row>
    <row r="1015" spans="14:14" hidden="1" x14ac:dyDescent="0.2">
      <c r="N1015" s="178"/>
    </row>
    <row r="1016" spans="14:14" hidden="1" x14ac:dyDescent="0.2">
      <c r="N1016" s="178"/>
    </row>
    <row r="1017" spans="14:14" hidden="1" x14ac:dyDescent="0.2">
      <c r="N1017" s="178"/>
    </row>
    <row r="1018" spans="14:14" hidden="1" x14ac:dyDescent="0.2">
      <c r="N1018" s="178"/>
    </row>
    <row r="1019" spans="14:14" hidden="1" x14ac:dyDescent="0.2">
      <c r="N1019" s="178"/>
    </row>
    <row r="1020" spans="14:14" hidden="1" x14ac:dyDescent="0.2">
      <c r="N1020" s="17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A3FE9E-0507-4B00-B3E4-88BFE1335A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Materiais</vt:lpstr>
      <vt:lpstr>Serviços-Takt</vt:lpstr>
      <vt:lpstr>Serviços-Terceiros</vt:lpstr>
      <vt:lpstr>Valores Finais</vt:lpstr>
      <vt:lpstr>Especificação-IO's</vt:lpstr>
      <vt:lpstr>DbMateriais</vt:lpstr>
      <vt:lpstr>Materiais!Area_de_impressao</vt:lpstr>
      <vt:lpstr>'Serviços-Takt'!Area_de_impressao</vt:lpstr>
      <vt:lpstr>'Serviços-Terceiros'!Area_de_impressao</vt:lpstr>
      <vt:lpstr>'Valores Finais'!Area_de_impressao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Full; Cristiano Stoski</dc:creator>
  <cp:lastModifiedBy>Cristiano Stoski</cp:lastModifiedBy>
  <cp:lastPrinted>2008-08-05T03:45:15Z</cp:lastPrinted>
  <dcterms:created xsi:type="dcterms:W3CDTF">2008-06-05T16:44:28Z</dcterms:created>
  <dcterms:modified xsi:type="dcterms:W3CDTF">2025-01-08T13:16:53Z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236e2620-5cb7-4f30-8ecc-52a5fb198a23</vt:lpwstr>
  </property>
</Properties>
</file>